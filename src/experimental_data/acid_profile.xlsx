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8D1DFC64-F128-41F9-ADB0-6A2E96972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26" i="1" l="1"/>
  <c r="AK125" i="1"/>
  <c r="AK124" i="1"/>
  <c r="AK123" i="1"/>
  <c r="AK122" i="1"/>
  <c r="AK121" i="1"/>
  <c r="AK120" i="1"/>
  <c r="AK119" i="1"/>
  <c r="AK118" i="1"/>
  <c r="AK117" i="1"/>
  <c r="AK116" i="1"/>
  <c r="U115" i="1"/>
  <c r="Q115" i="1"/>
  <c r="P115" i="1"/>
  <c r="K115" i="1"/>
  <c r="R114" i="1"/>
  <c r="Q114" i="1"/>
  <c r="P114" i="1"/>
  <c r="O114" i="1"/>
  <c r="K114" i="1"/>
  <c r="AJ113" i="1"/>
  <c r="AI113" i="1"/>
  <c r="AH113" i="1"/>
  <c r="AG113" i="1"/>
  <c r="AF113" i="1"/>
  <c r="R113" i="1"/>
  <c r="O113" i="1"/>
  <c r="L113" i="1"/>
  <c r="K113" i="1"/>
  <c r="AK112" i="1"/>
  <c r="Q111" i="1"/>
  <c r="P111" i="1"/>
  <c r="O111" i="1"/>
  <c r="K111" i="1"/>
  <c r="J111" i="1"/>
  <c r="I111" i="1"/>
  <c r="H111" i="1"/>
  <c r="G111" i="1"/>
  <c r="AK110" i="1"/>
  <c r="AD109" i="1"/>
  <c r="R109" i="1"/>
  <c r="Q109" i="1"/>
  <c r="P109" i="1"/>
  <c r="O109" i="1"/>
  <c r="K109" i="1"/>
  <c r="AK108" i="1"/>
  <c r="AD107" i="1"/>
  <c r="R107" i="1"/>
  <c r="Q107" i="1"/>
  <c r="P107" i="1"/>
  <c r="O107" i="1"/>
  <c r="L107" i="1"/>
  <c r="K107" i="1"/>
  <c r="AK106" i="1"/>
  <c r="AK105" i="1"/>
  <c r="AK104" i="1"/>
  <c r="AK103" i="1"/>
  <c r="AK102" i="1"/>
  <c r="AK101" i="1"/>
  <c r="AK100" i="1"/>
  <c r="AK99" i="1"/>
  <c r="AK98" i="1"/>
  <c r="AK97" i="1"/>
  <c r="AK96" i="1"/>
  <c r="Y95" i="1"/>
  <c r="R95" i="1"/>
  <c r="Q95" i="1"/>
  <c r="P95" i="1"/>
  <c r="O95" i="1"/>
  <c r="L95" i="1"/>
  <c r="K95" i="1"/>
  <c r="J95" i="1"/>
  <c r="I95" i="1"/>
  <c r="AK94" i="1"/>
  <c r="AK93" i="1"/>
  <c r="AK92" i="1"/>
  <c r="AK91" i="1"/>
  <c r="AK90" i="1"/>
  <c r="AK89" i="1"/>
  <c r="AK88" i="1"/>
  <c r="AK87" i="1"/>
  <c r="AK86" i="1"/>
  <c r="AE85" i="1"/>
  <c r="R85" i="1"/>
  <c r="Q85" i="1"/>
  <c r="P85" i="1"/>
  <c r="N85" i="1"/>
  <c r="M85" i="1"/>
  <c r="AB84" i="1"/>
  <c r="Y84" i="1"/>
  <c r="N84" i="1"/>
  <c r="J84" i="1"/>
  <c r="AK84" i="1" s="1"/>
  <c r="AE83" i="1"/>
  <c r="R83" i="1"/>
  <c r="Q83" i="1"/>
  <c r="P83" i="1"/>
  <c r="N83" i="1"/>
  <c r="M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Q55" i="1"/>
  <c r="P55" i="1"/>
  <c r="O55" i="1"/>
  <c r="K55" i="1"/>
  <c r="I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U37" i="1"/>
  <c r="R37" i="1"/>
  <c r="Q37" i="1"/>
  <c r="P37" i="1"/>
  <c r="O37" i="1"/>
  <c r="L37" i="1"/>
  <c r="K37" i="1"/>
  <c r="J37" i="1"/>
  <c r="I37" i="1"/>
  <c r="S36" i="1"/>
  <c r="R36" i="1"/>
  <c r="Q36" i="1"/>
  <c r="P36" i="1"/>
  <c r="O36" i="1"/>
  <c r="K36" i="1"/>
  <c r="R35" i="1"/>
  <c r="Q35" i="1"/>
  <c r="P35" i="1"/>
  <c r="O35" i="1"/>
  <c r="L35" i="1"/>
  <c r="K35" i="1"/>
  <c r="R34" i="1"/>
  <c r="Q34" i="1"/>
  <c r="P34" i="1"/>
  <c r="O34" i="1"/>
  <c r="K34" i="1"/>
  <c r="AC33" i="1"/>
  <c r="Q33" i="1"/>
  <c r="P33" i="1"/>
  <c r="O33" i="1"/>
  <c r="L33" i="1"/>
  <c r="K33" i="1"/>
  <c r="J33" i="1"/>
  <c r="I33" i="1"/>
  <c r="W32" i="1"/>
  <c r="AC32" i="1"/>
  <c r="Y32" i="1"/>
  <c r="U32" i="1"/>
  <c r="S32" i="1"/>
  <c r="R32" i="1"/>
  <c r="Q32" i="1"/>
  <c r="P32" i="1"/>
  <c r="O32" i="1"/>
  <c r="M32" i="1"/>
  <c r="L32" i="1"/>
  <c r="K32" i="1"/>
  <c r="AK31" i="1"/>
  <c r="AK30" i="1"/>
  <c r="AK29" i="1"/>
  <c r="AK28" i="1"/>
  <c r="AK27" i="1"/>
  <c r="AK26" i="1"/>
  <c r="U25" i="1"/>
  <c r="R25" i="1"/>
  <c r="Q25" i="1"/>
  <c r="P25" i="1"/>
  <c r="O25" i="1"/>
  <c r="N25" i="1"/>
  <c r="L25" i="1"/>
  <c r="K25" i="1"/>
  <c r="J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Q12" i="1"/>
  <c r="P12" i="1"/>
  <c r="O12" i="1"/>
  <c r="K12" i="1"/>
  <c r="AK11" i="1"/>
  <c r="AK10" i="1"/>
  <c r="AK9" i="1"/>
  <c r="AK8" i="1"/>
  <c r="AK7" i="1"/>
  <c r="AK6" i="1"/>
  <c r="AK5" i="1"/>
  <c r="AK4" i="1"/>
  <c r="AK3" i="1"/>
  <c r="AK2" i="1"/>
  <c r="AK95" i="1" l="1"/>
  <c r="AK35" i="1"/>
  <c r="AK85" i="1"/>
  <c r="AK115" i="1"/>
  <c r="AK55" i="1"/>
  <c r="AK114" i="1"/>
  <c r="AK83" i="1"/>
  <c r="AK33" i="1"/>
  <c r="AK111" i="1"/>
  <c r="AK12" i="1"/>
  <c r="AK34" i="1"/>
  <c r="AK36" i="1"/>
  <c r="AK109" i="1"/>
  <c r="AK107" i="1"/>
  <c r="AK113" i="1"/>
  <c r="AK32" i="1"/>
  <c r="AK25" i="1"/>
  <c r="AK37" i="1"/>
</calcChain>
</file>

<file path=xl/sharedStrings.xml><?xml version="1.0" encoding="utf-8"?>
<sst xmlns="http://schemas.openxmlformats.org/spreadsheetml/2006/main" count="537" uniqueCount="44">
  <si>
    <t>Ref</t>
  </si>
  <si>
    <t>Sub Ref</t>
  </si>
  <si>
    <t>MAG/DAG Profile?</t>
  </si>
  <si>
    <t>Additional FAME Profile?</t>
  </si>
  <si>
    <t>Acid mix Profile?</t>
  </si>
  <si>
    <t>Caproic</t>
  </si>
  <si>
    <t>Caprilic</t>
  </si>
  <si>
    <t>Capric</t>
  </si>
  <si>
    <t>Lauric</t>
  </si>
  <si>
    <t>Mirystic</t>
  </si>
  <si>
    <t>Palmitic</t>
  </si>
  <si>
    <t>Palmitoleic</t>
  </si>
  <si>
    <t>Heptadecanoic</t>
  </si>
  <si>
    <t>Stearic</t>
  </si>
  <si>
    <t>Oleic</t>
  </si>
  <si>
    <t>Linoleic</t>
  </si>
  <si>
    <t>Linolenic</t>
  </si>
  <si>
    <t>Ricinoleic</t>
  </si>
  <si>
    <t>Densipolic</t>
  </si>
  <si>
    <t>Arachidic</t>
  </si>
  <si>
    <t>Arachidonic</t>
  </si>
  <si>
    <t>Behenic</t>
  </si>
  <si>
    <t>cis-13 cis-16 docosadienoic</t>
  </si>
  <si>
    <t>Pentadecanoic</t>
  </si>
  <si>
    <t>Gadoleic</t>
  </si>
  <si>
    <t>Erucic</t>
  </si>
  <si>
    <t>Elaidic</t>
  </si>
  <si>
    <t>Paullinic</t>
  </si>
  <si>
    <t>Malvalic</t>
  </si>
  <si>
    <t>Sterculic</t>
  </si>
  <si>
    <t>Total</t>
  </si>
  <si>
    <t>a</t>
  </si>
  <si>
    <t>No</t>
  </si>
  <si>
    <t>b</t>
  </si>
  <si>
    <t>c</t>
  </si>
  <si>
    <t>d</t>
  </si>
  <si>
    <t>Yes</t>
  </si>
  <si>
    <t xml:space="preserve">No </t>
  </si>
  <si>
    <t>Gondoic</t>
  </si>
  <si>
    <t>Tetracosanoic</t>
  </si>
  <si>
    <t>cis-9-heptadecenoic</t>
  </si>
  <si>
    <t>Dihydrosterculic</t>
  </si>
  <si>
    <t>cis-11,14 eicosadienoic</t>
  </si>
  <si>
    <t>9,10-methylene-hexadecanoic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</si>
</sst>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1"/>
      <color rgb="FF2021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6"/>
  <sheetViews>
    <sheetView tabSelected="1" topLeftCell="A97" zoomScale="80" zoomScaleNormal="80" workbookViewId="0">
      <selection activeCell="C123" sqref="C123"/>
    </sheetView>
  </sheetViews>
  <sheetFormatPr baseColWidth="10" defaultColWidth="9.140625" defaultRowHeight="15" x14ac:dyDescent="0.25"/>
  <cols>
    <col min="2" max="2" width="7.7109375" bestFit="1" customWidth="1"/>
    <col min="3" max="3" width="18" bestFit="1" customWidth="1"/>
    <col min="4" max="4" width="23.5703125" bestFit="1" customWidth="1"/>
    <col min="5" max="5" width="16.140625" bestFit="1" customWidth="1"/>
    <col min="6" max="6" width="7.5703125" bestFit="1" customWidth="1"/>
    <col min="12" max="12" width="12" bestFit="1" customWidth="1"/>
    <col min="13" max="13" width="14.140625" bestFit="1" customWidth="1"/>
    <col min="14" max="14" width="21.28515625" customWidth="1"/>
    <col min="15" max="16" width="12" bestFit="1" customWidth="1"/>
    <col min="18" max="18" width="12" bestFit="1" customWidth="1"/>
    <col min="19" max="19" width="9.5703125" bestFit="1" customWidth="1"/>
    <col min="20" max="20" width="10.28515625" bestFit="1" customWidth="1"/>
    <col min="21" max="21" width="12" bestFit="1" customWidth="1"/>
    <col min="22" max="22" width="11.42578125" bestFit="1" customWidth="1"/>
    <col min="23" max="23" width="15.5703125" bestFit="1" customWidth="1"/>
    <col min="24" max="24" width="21.85546875" bestFit="1" customWidth="1"/>
    <col min="25" max="25" width="8.140625" bestFit="1" customWidth="1"/>
    <col min="26" max="26" width="16.5703125" bestFit="1" customWidth="1"/>
    <col min="27" max="27" width="24.85546875" bestFit="1" customWidth="1"/>
    <col min="28" max="28" width="12.85546875" bestFit="1" customWidth="1"/>
    <col min="29" max="29" width="16.140625" bestFit="1" customWidth="1"/>
    <col min="32" max="32" width="32.42578125" bestFit="1" customWidth="1"/>
    <col min="33" max="33" width="15.28515625" bestFit="1" customWidth="1"/>
    <col min="34" max="34" width="8.5703125" bestFit="1" customWidth="1"/>
    <col min="35" max="35" width="8.425781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40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38</v>
      </c>
      <c r="X1" s="3" t="s">
        <v>42</v>
      </c>
      <c r="Y1" s="2" t="s">
        <v>21</v>
      </c>
      <c r="Z1" s="2" t="s">
        <v>25</v>
      </c>
      <c r="AA1" s="2" t="s">
        <v>22</v>
      </c>
      <c r="AB1" s="2" t="s">
        <v>39</v>
      </c>
      <c r="AC1" s="6" t="s">
        <v>23</v>
      </c>
      <c r="AD1" s="2" t="s">
        <v>24</v>
      </c>
      <c r="AE1" s="2" t="s">
        <v>26</v>
      </c>
      <c r="AF1" s="2" t="s">
        <v>43</v>
      </c>
      <c r="AG1" s="2" t="s">
        <v>41</v>
      </c>
      <c r="AH1" s="2" t="s">
        <v>27</v>
      </c>
      <c r="AI1" s="2" t="s">
        <v>28</v>
      </c>
      <c r="AJ1" s="2" t="s">
        <v>29</v>
      </c>
      <c r="AK1" s="2" t="s">
        <v>30</v>
      </c>
    </row>
    <row r="2" spans="1:37" x14ac:dyDescent="0.25">
      <c r="A2" s="4">
        <v>1</v>
      </c>
      <c r="B2" s="4" t="s">
        <v>31</v>
      </c>
      <c r="C2" s="4" t="s">
        <v>32</v>
      </c>
      <c r="D2" s="4" t="s">
        <v>32</v>
      </c>
      <c r="E2" s="4" t="s">
        <v>32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7.4000000000000003E-3</v>
      </c>
      <c r="L2" s="4">
        <v>0</v>
      </c>
      <c r="M2" s="4">
        <v>0</v>
      </c>
      <c r="N2" s="5">
        <v>0</v>
      </c>
      <c r="O2" s="4">
        <v>9.1999999999999998E-3</v>
      </c>
      <c r="P2" s="4">
        <v>2.7099999999999999E-2</v>
      </c>
      <c r="Q2" s="4">
        <v>4.3099999999999999E-2</v>
      </c>
      <c r="R2" s="4">
        <v>3.2000000000000002E-3</v>
      </c>
      <c r="S2" s="4">
        <v>0.89870000000000005</v>
      </c>
      <c r="T2" s="4">
        <v>9.2999999999999992E-3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f>SUM(F2:AD2)</f>
        <v>0.998</v>
      </c>
    </row>
    <row r="3" spans="1:37" x14ac:dyDescent="0.25">
      <c r="A3" s="4">
        <v>2</v>
      </c>
      <c r="B3" s="4" t="s">
        <v>31</v>
      </c>
      <c r="C3" s="4" t="s">
        <v>32</v>
      </c>
      <c r="D3" s="4" t="s">
        <v>32</v>
      </c>
      <c r="E3" s="4" t="s">
        <v>32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0.245</v>
      </c>
      <c r="L3" s="4">
        <v>0</v>
      </c>
      <c r="M3" s="4">
        <v>0</v>
      </c>
      <c r="N3" s="5">
        <v>0</v>
      </c>
      <c r="O3" s="4">
        <v>0</v>
      </c>
      <c r="P3" s="4">
        <v>0.20300000000000001</v>
      </c>
      <c r="Q3" s="4">
        <v>0.51200000000000001</v>
      </c>
      <c r="R3" s="4">
        <v>2.3E-2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f t="shared" ref="AK3:AK34" si="0">SUM(F3:AC3)</f>
        <v>0.98299999999999998</v>
      </c>
    </row>
    <row r="4" spans="1:37" x14ac:dyDescent="0.25">
      <c r="A4" s="4">
        <v>3</v>
      </c>
      <c r="B4" s="4" t="s">
        <v>31</v>
      </c>
      <c r="C4" s="4" t="s">
        <v>32</v>
      </c>
      <c r="D4" s="4" t="s">
        <v>32</v>
      </c>
      <c r="E4" s="4" t="s">
        <v>32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2.1999999999999999E-2</v>
      </c>
      <c r="L4" s="4">
        <v>0</v>
      </c>
      <c r="M4" s="4">
        <v>0</v>
      </c>
      <c r="N4" s="5">
        <v>0</v>
      </c>
      <c r="O4" s="4">
        <v>1.0999999999999999E-2</v>
      </c>
      <c r="P4" s="4">
        <v>0.2</v>
      </c>
      <c r="Q4" s="4">
        <v>8.8999999999999996E-2</v>
      </c>
      <c r="R4" s="4">
        <v>4.8000000000000001E-2</v>
      </c>
      <c r="S4" s="4">
        <v>0</v>
      </c>
      <c r="T4" s="4">
        <v>0</v>
      </c>
      <c r="U4" s="4">
        <v>1.2E-2</v>
      </c>
      <c r="V4" s="4">
        <v>0</v>
      </c>
      <c r="W4" s="4">
        <v>3.9E-2</v>
      </c>
      <c r="X4" s="4">
        <v>0</v>
      </c>
      <c r="Y4" s="4">
        <v>1.7999999999999999E-2</v>
      </c>
      <c r="Z4" s="4">
        <v>0.55600000000000005</v>
      </c>
      <c r="AA4" s="4">
        <v>6.0000000000000001E-3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f t="shared" si="0"/>
        <v>1.0010000000000001</v>
      </c>
    </row>
    <row r="5" spans="1:37" x14ac:dyDescent="0.25">
      <c r="A5" s="4">
        <v>4</v>
      </c>
      <c r="B5" s="4" t="s">
        <v>31</v>
      </c>
      <c r="C5" s="4" t="s">
        <v>32</v>
      </c>
      <c r="D5" s="4" t="s">
        <v>32</v>
      </c>
      <c r="E5" s="4" t="s">
        <v>32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7.0999999999999994E-2</v>
      </c>
      <c r="L5" s="4">
        <v>0</v>
      </c>
      <c r="M5" s="4">
        <v>0</v>
      </c>
      <c r="N5" s="5">
        <v>0</v>
      </c>
      <c r="O5" s="4">
        <v>3.5999999999999997E-2</v>
      </c>
      <c r="P5" s="4">
        <v>0.31900000000000001</v>
      </c>
      <c r="Q5" s="4">
        <v>0.56399999999999995</v>
      </c>
      <c r="R5" s="4">
        <v>4.0000000000000001E-3</v>
      </c>
      <c r="S5" s="4">
        <v>0</v>
      </c>
      <c r="T5" s="4">
        <v>0</v>
      </c>
      <c r="U5" s="4">
        <v>3.0000000000000001E-3</v>
      </c>
      <c r="V5" s="4">
        <v>0</v>
      </c>
      <c r="W5" s="4">
        <v>1E-3</v>
      </c>
      <c r="X5" s="4">
        <v>0</v>
      </c>
      <c r="Y5" s="4">
        <v>1E-3</v>
      </c>
      <c r="Z5" s="4">
        <v>0</v>
      </c>
      <c r="AA5" s="4">
        <v>2E-3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f t="shared" si="0"/>
        <v>1.0009999999999999</v>
      </c>
    </row>
    <row r="6" spans="1:37" x14ac:dyDescent="0.25">
      <c r="A6" s="4">
        <v>5</v>
      </c>
      <c r="B6" s="4" t="s">
        <v>31</v>
      </c>
      <c r="C6" s="4" t="s">
        <v>32</v>
      </c>
      <c r="D6" s="4" t="s">
        <v>32</v>
      </c>
      <c r="E6" s="4" t="s">
        <v>32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5.6000000000000001E-2</v>
      </c>
      <c r="L6" s="4">
        <v>0</v>
      </c>
      <c r="M6" s="4">
        <v>0</v>
      </c>
      <c r="N6" s="5">
        <v>0</v>
      </c>
      <c r="O6" s="4">
        <v>3.1E-2</v>
      </c>
      <c r="P6" s="4">
        <v>0.5</v>
      </c>
      <c r="Q6" s="4">
        <v>0.36699999999999999</v>
      </c>
      <c r="R6" s="4">
        <v>4.1000000000000002E-2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5.0000000000000001E-3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f t="shared" si="0"/>
        <v>1</v>
      </c>
    </row>
    <row r="7" spans="1:37" x14ac:dyDescent="0.25">
      <c r="A7" s="4">
        <v>6</v>
      </c>
      <c r="B7" s="4" t="s">
        <v>31</v>
      </c>
      <c r="C7" s="4" t="s">
        <v>32</v>
      </c>
      <c r="D7" s="4" t="s">
        <v>32</v>
      </c>
      <c r="E7" s="4" t="s">
        <v>32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0.125</v>
      </c>
      <c r="L7" s="4">
        <v>0</v>
      </c>
      <c r="M7" s="4">
        <v>0</v>
      </c>
      <c r="N7" s="5">
        <v>0</v>
      </c>
      <c r="O7" s="4">
        <v>5.1999999999999998E-2</v>
      </c>
      <c r="P7" s="4">
        <v>0.23499999999999999</v>
      </c>
      <c r="Q7" s="4">
        <v>0.47799999999999998</v>
      </c>
      <c r="R7" s="4">
        <v>0.1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f t="shared" si="0"/>
        <v>0.98999999999999988</v>
      </c>
    </row>
    <row r="8" spans="1:37" x14ac:dyDescent="0.25">
      <c r="A8" s="4">
        <v>7</v>
      </c>
      <c r="B8" s="4" t="s">
        <v>31</v>
      </c>
      <c r="C8" s="4" t="s">
        <v>32</v>
      </c>
      <c r="D8" s="4" t="s">
        <v>32</v>
      </c>
      <c r="E8" s="4" t="s">
        <v>32</v>
      </c>
      <c r="F8" s="4">
        <v>0</v>
      </c>
      <c r="G8" s="4">
        <v>0</v>
      </c>
      <c r="H8" s="4">
        <v>0</v>
      </c>
      <c r="I8" s="4">
        <v>0</v>
      </c>
      <c r="J8" s="4">
        <v>4.0000000000000001E-3</v>
      </c>
      <c r="K8" s="4">
        <v>0.128</v>
      </c>
      <c r="L8" s="4">
        <v>3.1E-2</v>
      </c>
      <c r="M8" s="4">
        <v>0</v>
      </c>
      <c r="N8" s="5">
        <v>0</v>
      </c>
      <c r="O8" s="4">
        <v>4.8000000000000001E-2</v>
      </c>
      <c r="P8" s="4">
        <v>0.43099999999999999</v>
      </c>
      <c r="Q8" s="4">
        <v>0.35299999999999998</v>
      </c>
      <c r="R8" s="4">
        <v>3.0000000000000001E-3</v>
      </c>
      <c r="S8" s="4">
        <v>0</v>
      </c>
      <c r="T8" s="4">
        <v>0</v>
      </c>
      <c r="U8" s="4">
        <v>2E-3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f t="shared" si="0"/>
        <v>1</v>
      </c>
    </row>
    <row r="9" spans="1:37" x14ac:dyDescent="0.25">
      <c r="A9" s="4">
        <v>8</v>
      </c>
      <c r="B9" s="4" t="s">
        <v>31</v>
      </c>
      <c r="C9" s="4" t="s">
        <v>32</v>
      </c>
      <c r="D9" s="4" t="s">
        <v>32</v>
      </c>
      <c r="E9" s="4" t="s">
        <v>32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0.112</v>
      </c>
      <c r="L9" s="4">
        <v>0</v>
      </c>
      <c r="M9" s="4">
        <v>0</v>
      </c>
      <c r="N9" s="5">
        <v>0</v>
      </c>
      <c r="O9" s="4">
        <v>3.44E-2</v>
      </c>
      <c r="P9" s="4">
        <v>0.2361</v>
      </c>
      <c r="Q9" s="4">
        <v>0.54920000000000002</v>
      </c>
      <c r="R9" s="4">
        <v>6.83E-2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f t="shared" si="0"/>
        <v>1</v>
      </c>
    </row>
    <row r="10" spans="1:37" x14ac:dyDescent="0.25">
      <c r="A10" s="4">
        <v>9</v>
      </c>
      <c r="B10" s="4" t="s">
        <v>31</v>
      </c>
      <c r="C10" s="4" t="s">
        <v>32</v>
      </c>
      <c r="D10" s="4" t="s">
        <v>32</v>
      </c>
      <c r="E10" s="4" t="s">
        <v>32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0.12330000000000001</v>
      </c>
      <c r="L10" s="4">
        <v>0</v>
      </c>
      <c r="M10" s="4">
        <v>0</v>
      </c>
      <c r="N10" s="5">
        <v>0</v>
      </c>
      <c r="O10" s="4">
        <v>0</v>
      </c>
      <c r="P10" s="4">
        <v>0.25950000000000001</v>
      </c>
      <c r="Q10" s="4">
        <v>0.55549999999999999</v>
      </c>
      <c r="R10" s="4">
        <v>6.1699999999999998E-2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f t="shared" si="0"/>
        <v>1</v>
      </c>
    </row>
    <row r="11" spans="1:37" x14ac:dyDescent="0.25">
      <c r="A11" s="4">
        <v>10</v>
      </c>
      <c r="B11" s="4" t="s">
        <v>31</v>
      </c>
      <c r="C11" s="4" t="s">
        <v>32</v>
      </c>
      <c r="D11" s="4" t="s">
        <v>32</v>
      </c>
      <c r="E11" s="4" t="s">
        <v>32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0.1132</v>
      </c>
      <c r="L11" s="4">
        <v>0</v>
      </c>
      <c r="M11" s="4">
        <v>0</v>
      </c>
      <c r="N11" s="5">
        <v>0</v>
      </c>
      <c r="O11" s="4">
        <v>3.1300000000000001E-2</v>
      </c>
      <c r="P11" s="4">
        <v>0.2387</v>
      </c>
      <c r="Q11" s="4">
        <v>0.5494</v>
      </c>
      <c r="R11" s="4">
        <v>4.9399999999999999E-2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1.7999999999999999E-2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f t="shared" si="0"/>
        <v>1</v>
      </c>
    </row>
    <row r="12" spans="1:37" x14ac:dyDescent="0.25">
      <c r="A12" s="4">
        <v>10</v>
      </c>
      <c r="B12" s="4" t="s">
        <v>33</v>
      </c>
      <c r="C12" s="4" t="s">
        <v>32</v>
      </c>
      <c r="D12" s="4" t="s">
        <v>32</v>
      </c>
      <c r="E12" s="4" t="s">
        <v>32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f>7.1/100</f>
        <v>7.0999999999999994E-2</v>
      </c>
      <c r="L12" s="4">
        <v>0</v>
      </c>
      <c r="M12" s="4">
        <v>0</v>
      </c>
      <c r="N12" s="5">
        <v>0</v>
      </c>
      <c r="O12" s="4">
        <f>4.8/100</f>
        <v>4.8000000000000001E-2</v>
      </c>
      <c r="P12" s="4">
        <f>22.6/100</f>
        <v>0.22600000000000001</v>
      </c>
      <c r="Q12" s="4">
        <f>65.5/100</f>
        <v>0.65500000000000003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f t="shared" si="0"/>
        <v>1</v>
      </c>
    </row>
    <row r="13" spans="1:37" x14ac:dyDescent="0.25">
      <c r="A13" s="4">
        <v>11</v>
      </c>
      <c r="B13" s="4" t="s">
        <v>31</v>
      </c>
      <c r="C13" s="4" t="s">
        <v>32</v>
      </c>
      <c r="D13" s="4" t="s">
        <v>32</v>
      </c>
      <c r="E13" s="4" t="s">
        <v>32</v>
      </c>
      <c r="F13" s="4">
        <v>2.8E-3</v>
      </c>
      <c r="G13" s="4">
        <v>4.0800000000000003E-2</v>
      </c>
      <c r="H13" s="4">
        <v>3.6499999999999998E-2</v>
      </c>
      <c r="I13" s="4">
        <v>0.35349999999999998</v>
      </c>
      <c r="J13" s="4">
        <v>0.19839999999999999</v>
      </c>
      <c r="K13" s="4">
        <v>0.13830000000000001</v>
      </c>
      <c r="L13" s="4">
        <v>0</v>
      </c>
      <c r="M13" s="4">
        <v>0</v>
      </c>
      <c r="N13" s="5">
        <v>0</v>
      </c>
      <c r="O13" s="4">
        <v>3.9399999999999998E-2</v>
      </c>
      <c r="P13" s="4">
        <v>0.14299999999999999</v>
      </c>
      <c r="Q13" s="4">
        <v>4.7300000000000002E-2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f t="shared" si="0"/>
        <v>1</v>
      </c>
    </row>
    <row r="14" spans="1:37" x14ac:dyDescent="0.25">
      <c r="A14" s="4">
        <v>12</v>
      </c>
      <c r="B14" s="4" t="s">
        <v>31</v>
      </c>
      <c r="C14" s="4" t="s">
        <v>32</v>
      </c>
      <c r="D14" s="4" t="s">
        <v>32</v>
      </c>
      <c r="E14" s="4" t="s">
        <v>32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5">
        <v>0</v>
      </c>
      <c r="O14" s="4">
        <v>0</v>
      </c>
      <c r="P14" s="4">
        <v>0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f t="shared" si="0"/>
        <v>1</v>
      </c>
    </row>
    <row r="15" spans="1:37" x14ac:dyDescent="0.25">
      <c r="A15" s="4">
        <v>12</v>
      </c>
      <c r="B15" s="4" t="s">
        <v>33</v>
      </c>
      <c r="C15" s="4" t="s">
        <v>32</v>
      </c>
      <c r="D15" s="4" t="s">
        <v>32</v>
      </c>
      <c r="E15" s="4" t="s">
        <v>32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5">
        <v>0</v>
      </c>
      <c r="O15" s="4">
        <v>0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f t="shared" si="0"/>
        <v>1</v>
      </c>
    </row>
    <row r="16" spans="1:37" x14ac:dyDescent="0.25">
      <c r="A16" s="4">
        <v>12</v>
      </c>
      <c r="B16" s="4" t="s">
        <v>34</v>
      </c>
      <c r="C16" s="4" t="s">
        <v>32</v>
      </c>
      <c r="D16" s="4" t="s">
        <v>32</v>
      </c>
      <c r="E16" s="4" t="s">
        <v>32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f t="shared" si="0"/>
        <v>1</v>
      </c>
    </row>
    <row r="17" spans="1:37" x14ac:dyDescent="0.25">
      <c r="A17" s="4">
        <v>12</v>
      </c>
      <c r="B17" s="4" t="s">
        <v>35</v>
      </c>
      <c r="C17" s="4" t="s">
        <v>32</v>
      </c>
      <c r="D17" s="4" t="s">
        <v>32</v>
      </c>
      <c r="E17" s="4" t="s">
        <v>32</v>
      </c>
      <c r="F17" s="4">
        <v>0</v>
      </c>
      <c r="G17" s="4">
        <v>0</v>
      </c>
      <c r="H17" s="4">
        <v>0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f t="shared" si="0"/>
        <v>1</v>
      </c>
    </row>
    <row r="18" spans="1:37" x14ac:dyDescent="0.25">
      <c r="A18" s="4">
        <v>13</v>
      </c>
      <c r="B18" s="4" t="s">
        <v>31</v>
      </c>
      <c r="C18" s="4" t="s">
        <v>32</v>
      </c>
      <c r="D18" s="4" t="s">
        <v>32</v>
      </c>
      <c r="E18" s="4" t="s">
        <v>32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0.20780000000000001</v>
      </c>
      <c r="L18" s="4">
        <v>3.8699999999999998E-2</v>
      </c>
      <c r="M18" s="4">
        <v>0</v>
      </c>
      <c r="N18" s="5">
        <v>0</v>
      </c>
      <c r="O18" s="4">
        <v>2.7900000000000001E-2</v>
      </c>
      <c r="P18" s="4">
        <v>0.57369999999999999</v>
      </c>
      <c r="Q18" s="4">
        <v>0.14130000000000001</v>
      </c>
      <c r="R18" s="4">
        <v>9.5999999999999992E-3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f t="shared" si="0"/>
        <v>0.999</v>
      </c>
    </row>
    <row r="19" spans="1:37" x14ac:dyDescent="0.25">
      <c r="A19" s="4">
        <v>14</v>
      </c>
      <c r="B19" s="4" t="s">
        <v>31</v>
      </c>
      <c r="C19" s="4" t="s">
        <v>32</v>
      </c>
      <c r="D19" s="4" t="s">
        <v>32</v>
      </c>
      <c r="E19" s="4" t="s">
        <v>32</v>
      </c>
      <c r="F19" s="4">
        <v>0</v>
      </c>
      <c r="G19" s="4">
        <v>0</v>
      </c>
      <c r="H19" s="4">
        <v>0</v>
      </c>
      <c r="I19" s="4">
        <v>0</v>
      </c>
      <c r="J19" s="4">
        <v>3.7000000000000002E-3</v>
      </c>
      <c r="K19" s="4">
        <v>0.13339999999999999</v>
      </c>
      <c r="L19" s="4">
        <v>9.9000000000000008E-3</v>
      </c>
      <c r="M19" s="4">
        <v>0</v>
      </c>
      <c r="N19" s="5">
        <v>0</v>
      </c>
      <c r="O19" s="4">
        <v>4.9099999999999998E-2</v>
      </c>
      <c r="P19" s="4">
        <v>0.32029999999999997</v>
      </c>
      <c r="Q19" s="4">
        <v>0.45050000000000001</v>
      </c>
      <c r="R19" s="4">
        <v>2.3E-3</v>
      </c>
      <c r="S19" s="4">
        <v>0</v>
      </c>
      <c r="T19" s="4">
        <v>0</v>
      </c>
      <c r="U19" s="4">
        <v>1.6000000000000001E-3</v>
      </c>
      <c r="V19" s="4">
        <v>0</v>
      </c>
      <c r="W19" s="4">
        <v>0</v>
      </c>
      <c r="X19" s="4">
        <v>2.92E-2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f t="shared" si="0"/>
        <v>1</v>
      </c>
    </row>
    <row r="20" spans="1:37" x14ac:dyDescent="0.25">
      <c r="A20" s="4">
        <v>15</v>
      </c>
      <c r="B20" s="4" t="s">
        <v>31</v>
      </c>
      <c r="C20" s="4" t="s">
        <v>32</v>
      </c>
      <c r="D20" s="4" t="s">
        <v>32</v>
      </c>
      <c r="E20" s="4" t="s">
        <v>32</v>
      </c>
      <c r="F20" s="4">
        <v>0</v>
      </c>
      <c r="G20" s="4">
        <v>0</v>
      </c>
      <c r="H20" s="4">
        <v>0</v>
      </c>
      <c r="I20" s="4">
        <v>0</v>
      </c>
      <c r="J20" s="4">
        <v>1.4E-3</v>
      </c>
      <c r="K20" s="4">
        <v>4.9799999999999997E-2</v>
      </c>
      <c r="L20" s="4">
        <v>3.2000000000000002E-3</v>
      </c>
      <c r="M20" s="4">
        <v>0</v>
      </c>
      <c r="N20" s="5">
        <v>0</v>
      </c>
      <c r="O20" s="4">
        <v>2.1399999999999999E-2</v>
      </c>
      <c r="P20" s="4">
        <v>0.60860000000000003</v>
      </c>
      <c r="Q20" s="4">
        <v>0.22420000000000001</v>
      </c>
      <c r="R20" s="4">
        <v>8.1100000000000005E-2</v>
      </c>
      <c r="S20" s="4">
        <v>0</v>
      </c>
      <c r="T20" s="4">
        <v>0</v>
      </c>
      <c r="U20" s="4">
        <v>8.8000000000000005E-3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f t="shared" si="0"/>
        <v>0.99850000000000005</v>
      </c>
    </row>
    <row r="21" spans="1:37" x14ac:dyDescent="0.25">
      <c r="A21" s="4">
        <v>16</v>
      </c>
      <c r="B21" s="4" t="s">
        <v>31</v>
      </c>
      <c r="C21" s="4" t="s">
        <v>32</v>
      </c>
      <c r="D21" s="4" t="s">
        <v>32</v>
      </c>
      <c r="E21" s="4" t="s">
        <v>32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5">
        <v>0</v>
      </c>
      <c r="O21" s="4">
        <v>0</v>
      </c>
      <c r="P21" s="4">
        <v>0.97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f t="shared" si="0"/>
        <v>0.97</v>
      </c>
    </row>
    <row r="22" spans="1:37" x14ac:dyDescent="0.25">
      <c r="A22" s="4">
        <v>17</v>
      </c>
      <c r="B22" s="4" t="s">
        <v>31</v>
      </c>
      <c r="C22" s="4" t="s">
        <v>32</v>
      </c>
      <c r="D22" s="4" t="s">
        <v>32</v>
      </c>
      <c r="E22" s="4" t="s">
        <v>32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1.35E-2</v>
      </c>
      <c r="L22" s="4">
        <v>0</v>
      </c>
      <c r="M22" s="4">
        <v>0</v>
      </c>
      <c r="N22" s="5">
        <v>0</v>
      </c>
      <c r="O22" s="4">
        <v>7.7999999999999996E-3</v>
      </c>
      <c r="P22" s="4">
        <v>2.4199999999999999E-2</v>
      </c>
      <c r="Q22" s="4">
        <v>3.0800000000000001E-2</v>
      </c>
      <c r="R22" s="4">
        <v>2.3999999999999998E-3</v>
      </c>
      <c r="S22" s="4">
        <v>0.91210000000000002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f t="shared" si="0"/>
        <v>0.99080000000000001</v>
      </c>
    </row>
    <row r="23" spans="1:37" x14ac:dyDescent="0.25">
      <c r="A23" s="4">
        <v>18</v>
      </c>
      <c r="B23" s="4" t="s">
        <v>31</v>
      </c>
      <c r="C23" s="4" t="s">
        <v>32</v>
      </c>
      <c r="D23" s="4" t="s">
        <v>32</v>
      </c>
      <c r="E23" s="4" t="s">
        <v>32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0.112</v>
      </c>
      <c r="L23" s="4">
        <v>0</v>
      </c>
      <c r="M23" s="4">
        <v>0</v>
      </c>
      <c r="N23" s="5">
        <v>0</v>
      </c>
      <c r="O23" s="4">
        <v>3.4500000000000003E-2</v>
      </c>
      <c r="P23" s="4">
        <v>0.2341</v>
      </c>
      <c r="Q23" s="4">
        <v>0.54210000000000003</v>
      </c>
      <c r="R23" s="4">
        <v>6.8099999999999994E-2</v>
      </c>
      <c r="S23" s="4">
        <v>0</v>
      </c>
      <c r="T23" s="4">
        <v>0</v>
      </c>
      <c r="U23" s="4">
        <v>4.3E-3</v>
      </c>
      <c r="V23" s="4">
        <v>0</v>
      </c>
      <c r="W23" s="4">
        <v>0</v>
      </c>
      <c r="X23" s="4">
        <v>0</v>
      </c>
      <c r="Y23" s="4">
        <v>4.8999999999999998E-3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f t="shared" si="0"/>
        <v>1</v>
      </c>
    </row>
    <row r="24" spans="1:37" x14ac:dyDescent="0.25">
      <c r="A24" s="4">
        <v>19</v>
      </c>
      <c r="B24" s="4" t="s">
        <v>31</v>
      </c>
      <c r="C24" s="4" t="s">
        <v>32</v>
      </c>
      <c r="D24" s="4" t="s">
        <v>32</v>
      </c>
      <c r="E24" s="4" t="s">
        <v>32</v>
      </c>
      <c r="F24" s="4">
        <v>0</v>
      </c>
      <c r="G24" s="4">
        <v>0</v>
      </c>
      <c r="H24" s="4">
        <v>0</v>
      </c>
      <c r="I24" s="4">
        <v>0</v>
      </c>
      <c r="J24" s="4">
        <v>5.0000000000000001E-4</v>
      </c>
      <c r="K24" s="4">
        <v>0.12939999999999999</v>
      </c>
      <c r="L24" s="4">
        <v>8.9999999999999998E-4</v>
      </c>
      <c r="M24" s="4">
        <v>0</v>
      </c>
      <c r="N24" s="4">
        <v>1E-3</v>
      </c>
      <c r="O24" s="4">
        <v>2.0899999999999998E-2</v>
      </c>
      <c r="P24" s="4">
        <v>0.31419999999999998</v>
      </c>
      <c r="Q24" s="4">
        <v>0.52180000000000004</v>
      </c>
      <c r="R24" s="4">
        <v>5.8999999999999999E-3</v>
      </c>
      <c r="S24" s="4">
        <v>0</v>
      </c>
      <c r="T24" s="4">
        <v>0</v>
      </c>
      <c r="U24" s="4">
        <v>2.7000000000000001E-3</v>
      </c>
      <c r="V24" s="4">
        <v>0</v>
      </c>
      <c r="W24" s="4">
        <v>1.1999999999999999E-3</v>
      </c>
      <c r="X24" s="4">
        <v>0</v>
      </c>
      <c r="Y24" s="4">
        <v>1.5E-3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f t="shared" si="0"/>
        <v>1</v>
      </c>
    </row>
    <row r="25" spans="1:37" x14ac:dyDescent="0.25">
      <c r="A25" s="4">
        <v>19</v>
      </c>
      <c r="B25" s="4" t="s">
        <v>33</v>
      </c>
      <c r="C25" s="4" t="s">
        <v>32</v>
      </c>
      <c r="D25" s="4" t="s">
        <v>32</v>
      </c>
      <c r="E25" s="4" t="s">
        <v>32</v>
      </c>
      <c r="F25" s="4">
        <v>0</v>
      </c>
      <c r="G25" s="4">
        <v>0</v>
      </c>
      <c r="H25" s="4">
        <v>0</v>
      </c>
      <c r="I25" s="4">
        <v>0</v>
      </c>
      <c r="J25" s="4">
        <f>0.67/100</f>
        <v>6.7000000000000002E-3</v>
      </c>
      <c r="K25" s="4">
        <f>0.2388</f>
        <v>0.23880000000000001</v>
      </c>
      <c r="L25" s="4">
        <f>0.13/100</f>
        <v>1.2999999999999999E-3</v>
      </c>
      <c r="M25" s="4">
        <v>0</v>
      </c>
      <c r="N25" s="4">
        <f>0.09/100</f>
        <v>8.9999999999999998E-4</v>
      </c>
      <c r="O25" s="4">
        <f>3.67/100</f>
        <v>3.6699999999999997E-2</v>
      </c>
      <c r="P25" s="4">
        <f>0.3711</f>
        <v>0.37109999999999999</v>
      </c>
      <c r="Q25" s="4">
        <f>0.338</f>
        <v>0.33800000000000002</v>
      </c>
      <c r="R25" s="4">
        <f>0.15/100</f>
        <v>1.5E-3</v>
      </c>
      <c r="S25" s="4">
        <v>0</v>
      </c>
      <c r="T25" s="4">
        <v>0</v>
      </c>
      <c r="U25" s="4">
        <f>0.17/100</f>
        <v>1.7000000000000001E-3</v>
      </c>
      <c r="V25" s="4">
        <v>0</v>
      </c>
      <c r="W25" s="4">
        <v>1.1999999999999999E-3</v>
      </c>
      <c r="X25" s="4">
        <v>0</v>
      </c>
      <c r="Y25" s="4">
        <v>1.5E-3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f t="shared" si="0"/>
        <v>0.99939999999999996</v>
      </c>
    </row>
    <row r="26" spans="1:37" x14ac:dyDescent="0.25">
      <c r="A26" s="4">
        <v>20</v>
      </c>
      <c r="B26" s="4" t="s">
        <v>31</v>
      </c>
      <c r="C26" s="4" t="s">
        <v>32</v>
      </c>
      <c r="D26" s="4" t="s">
        <v>32</v>
      </c>
      <c r="E26" s="4" t="s">
        <v>32</v>
      </c>
      <c r="F26" s="4">
        <v>0</v>
      </c>
      <c r="G26" s="4">
        <v>0</v>
      </c>
      <c r="H26" s="4">
        <v>0</v>
      </c>
      <c r="I26" s="4">
        <v>0</v>
      </c>
      <c r="J26" s="4">
        <v>1.0999999999999999E-2</v>
      </c>
      <c r="K26" s="4">
        <v>0.437</v>
      </c>
      <c r="L26" s="4">
        <v>0</v>
      </c>
      <c r="M26" s="4">
        <v>0</v>
      </c>
      <c r="N26" s="5">
        <v>0</v>
      </c>
      <c r="O26" s="4">
        <v>4.3999999999999997E-2</v>
      </c>
      <c r="P26" s="4">
        <v>0.39900000000000002</v>
      </c>
      <c r="Q26" s="4">
        <v>0.107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f t="shared" si="0"/>
        <v>0.998</v>
      </c>
    </row>
    <row r="27" spans="1:37" x14ac:dyDescent="0.25">
      <c r="A27" s="4">
        <v>21</v>
      </c>
      <c r="B27" s="4" t="s">
        <v>31</v>
      </c>
      <c r="C27" s="4" t="s">
        <v>32</v>
      </c>
      <c r="D27" s="4" t="s">
        <v>32</v>
      </c>
      <c r="E27" s="4" t="s">
        <v>32</v>
      </c>
      <c r="F27" s="4">
        <v>6.0000000000000001E-3</v>
      </c>
      <c r="G27" s="4">
        <v>0</v>
      </c>
      <c r="H27" s="4">
        <v>0</v>
      </c>
      <c r="I27" s="4">
        <v>0</v>
      </c>
      <c r="J27" s="4">
        <v>1E-3</v>
      </c>
      <c r="K27" s="4">
        <v>5.0999999999999997E-2</v>
      </c>
      <c r="L27" s="4">
        <v>0</v>
      </c>
      <c r="M27" s="4">
        <v>0</v>
      </c>
      <c r="N27" s="5">
        <v>0</v>
      </c>
      <c r="O27" s="4">
        <v>2.1000000000000001E-2</v>
      </c>
      <c r="P27" s="4">
        <v>0.57899999999999996</v>
      </c>
      <c r="Q27" s="4">
        <v>0.247</v>
      </c>
      <c r="R27" s="4">
        <v>7.9000000000000001E-2</v>
      </c>
      <c r="S27" s="4">
        <v>0</v>
      </c>
      <c r="T27" s="4">
        <v>0</v>
      </c>
      <c r="U27" s="4">
        <v>2E-3</v>
      </c>
      <c r="V27" s="4">
        <v>0</v>
      </c>
      <c r="W27" s="4">
        <v>0.01</v>
      </c>
      <c r="X27" s="4">
        <v>0</v>
      </c>
      <c r="Y27" s="4">
        <v>4.0000000000000001E-3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f t="shared" si="0"/>
        <v>0.99999999999999989</v>
      </c>
    </row>
    <row r="28" spans="1:37" x14ac:dyDescent="0.25">
      <c r="A28" s="4">
        <v>22</v>
      </c>
      <c r="B28" s="4" t="s">
        <v>31</v>
      </c>
      <c r="C28" s="4" t="s">
        <v>32</v>
      </c>
      <c r="D28" s="4" t="s">
        <v>32</v>
      </c>
      <c r="E28" s="4" t="s">
        <v>32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0.16500000000000001</v>
      </c>
      <c r="L28" s="4">
        <v>0</v>
      </c>
      <c r="M28" s="4">
        <v>0</v>
      </c>
      <c r="N28" s="5">
        <v>0</v>
      </c>
      <c r="O28" s="4">
        <v>4.2000000000000003E-2</v>
      </c>
      <c r="P28" s="4">
        <v>0.33400000000000002</v>
      </c>
      <c r="Q28" s="4">
        <v>0.442</v>
      </c>
      <c r="R28" s="4">
        <v>1.7000000000000001E-2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f t="shared" si="0"/>
        <v>1</v>
      </c>
    </row>
    <row r="29" spans="1:37" x14ac:dyDescent="0.25">
      <c r="A29" s="4">
        <v>23</v>
      </c>
      <c r="B29" s="4" t="s">
        <v>31</v>
      </c>
      <c r="C29" s="4" t="s">
        <v>32</v>
      </c>
      <c r="D29" s="4" t="s">
        <v>32</v>
      </c>
      <c r="E29" s="4" t="s">
        <v>32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2.07E-2</v>
      </c>
      <c r="L29" s="4">
        <v>0</v>
      </c>
      <c r="M29" s="4">
        <v>0</v>
      </c>
      <c r="N29" s="5">
        <v>0</v>
      </c>
      <c r="O29" s="4">
        <v>1.0699999999999999E-2</v>
      </c>
      <c r="P29" s="4">
        <v>0.1938</v>
      </c>
      <c r="Q29" s="4">
        <v>8.3299999999999999E-2</v>
      </c>
      <c r="R29" s="4">
        <v>4.5400000000000003E-2</v>
      </c>
      <c r="S29" s="4">
        <v>0</v>
      </c>
      <c r="T29" s="4">
        <v>0</v>
      </c>
      <c r="U29" s="4">
        <v>1.2200000000000001E-2</v>
      </c>
      <c r="V29" s="4">
        <v>0</v>
      </c>
      <c r="W29" s="4">
        <v>4.0399999999999998E-2</v>
      </c>
      <c r="X29" s="4">
        <v>0</v>
      </c>
      <c r="Y29" s="4">
        <v>0.59350000000000003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f t="shared" si="0"/>
        <v>1</v>
      </c>
    </row>
    <row r="30" spans="1:37" x14ac:dyDescent="0.25">
      <c r="A30" s="4">
        <v>23</v>
      </c>
      <c r="B30" s="4" t="s">
        <v>33</v>
      </c>
      <c r="C30" s="4" t="s">
        <v>32</v>
      </c>
      <c r="D30" s="4" t="s">
        <v>32</v>
      </c>
      <c r="E30" s="4" t="s">
        <v>32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5.11E-2</v>
      </c>
      <c r="L30" s="4">
        <v>0</v>
      </c>
      <c r="M30" s="4">
        <v>0</v>
      </c>
      <c r="N30" s="5">
        <v>0</v>
      </c>
      <c r="O30" s="4">
        <v>2.3599999999999999E-2</v>
      </c>
      <c r="P30" s="4">
        <v>0.3947</v>
      </c>
      <c r="Q30" s="4">
        <v>0.16689999999999999</v>
      </c>
      <c r="R30" s="4">
        <v>0.12189999999999999</v>
      </c>
      <c r="S30" s="4">
        <v>0</v>
      </c>
      <c r="T30" s="4">
        <v>0</v>
      </c>
      <c r="U30" s="4">
        <v>8.6999999999999994E-3</v>
      </c>
      <c r="V30" s="4">
        <v>0</v>
      </c>
      <c r="W30" s="4">
        <v>0.1004</v>
      </c>
      <c r="X30" s="4">
        <v>0</v>
      </c>
      <c r="Y30" s="4">
        <v>0.13270000000000001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f t="shared" si="0"/>
        <v>1</v>
      </c>
    </row>
    <row r="31" spans="1:37" x14ac:dyDescent="0.25">
      <c r="A31" s="4">
        <v>23</v>
      </c>
      <c r="B31" s="4" t="s">
        <v>34</v>
      </c>
      <c r="C31" s="4" t="s">
        <v>32</v>
      </c>
      <c r="D31" s="4" t="s">
        <v>32</v>
      </c>
      <c r="E31" s="4" t="s">
        <v>32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0.218</v>
      </c>
      <c r="L31" s="4">
        <v>4.0800000000000003E-2</v>
      </c>
      <c r="M31" s="4">
        <v>0</v>
      </c>
      <c r="N31" s="5">
        <v>0</v>
      </c>
      <c r="O31" s="4">
        <v>2.76E-2</v>
      </c>
      <c r="P31" s="4">
        <v>0.5897</v>
      </c>
      <c r="Q31" s="4">
        <v>0.1164</v>
      </c>
      <c r="R31" s="4">
        <v>7.4999999999999997E-3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f t="shared" si="0"/>
        <v>1.0000000000000002</v>
      </c>
    </row>
    <row r="32" spans="1:37" x14ac:dyDescent="0.25">
      <c r="A32" s="4">
        <v>24</v>
      </c>
      <c r="B32" s="4" t="s">
        <v>31</v>
      </c>
      <c r="C32" s="4" t="s">
        <v>32</v>
      </c>
      <c r="D32" s="4" t="s">
        <v>32</v>
      </c>
      <c r="E32" s="4" t="s">
        <v>32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f>4.04/100</f>
        <v>4.0399999999999998E-2</v>
      </c>
      <c r="L32" s="4">
        <f>6.37/100</f>
        <v>6.3700000000000007E-2</v>
      </c>
      <c r="M32" s="4">
        <f>23.7/100</f>
        <v>0.23699999999999999</v>
      </c>
      <c r="N32" s="5">
        <v>0</v>
      </c>
      <c r="O32" s="4">
        <f>6.48/100</f>
        <v>6.480000000000001E-2</v>
      </c>
      <c r="P32" s="4">
        <f>3.31/100</f>
        <v>3.3099999999999997E-2</v>
      </c>
      <c r="Q32" s="4">
        <f>37/100</f>
        <v>0.37</v>
      </c>
      <c r="R32" s="4">
        <f>5.7/100</f>
        <v>5.7000000000000002E-2</v>
      </c>
      <c r="S32" s="4">
        <f>5.63/100</f>
        <v>5.6299999999999996E-2</v>
      </c>
      <c r="T32" s="4">
        <v>0</v>
      </c>
      <c r="U32" s="4">
        <f>0.87/100</f>
        <v>8.6999999999999994E-3</v>
      </c>
      <c r="V32" s="4">
        <v>0</v>
      </c>
      <c r="W32" s="4">
        <f>1.24/100</f>
        <v>1.24E-2</v>
      </c>
      <c r="X32" s="4">
        <v>0</v>
      </c>
      <c r="Y32" s="4">
        <f>1.95/100</f>
        <v>1.95E-2</v>
      </c>
      <c r="Z32" s="4">
        <v>0</v>
      </c>
      <c r="AA32" s="4">
        <v>0</v>
      </c>
      <c r="AB32" s="4">
        <v>0</v>
      </c>
      <c r="AC32" s="4">
        <f>2.07/100</f>
        <v>2.07E-2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f t="shared" si="0"/>
        <v>0.98360000000000003</v>
      </c>
    </row>
    <row r="33" spans="1:37" x14ac:dyDescent="0.25">
      <c r="A33" s="4">
        <v>25</v>
      </c>
      <c r="B33" s="4" t="s">
        <v>31</v>
      </c>
      <c r="C33" s="4" t="s">
        <v>32</v>
      </c>
      <c r="D33" s="4" t="s">
        <v>32</v>
      </c>
      <c r="E33" s="4" t="s">
        <v>32</v>
      </c>
      <c r="F33" s="4">
        <v>0</v>
      </c>
      <c r="G33" s="4">
        <v>0</v>
      </c>
      <c r="H33" s="4">
        <v>0</v>
      </c>
      <c r="I33" s="4">
        <f>0.04/100</f>
        <v>4.0000000000000002E-4</v>
      </c>
      <c r="J33" s="4">
        <f>0.1/100</f>
        <v>1E-3</v>
      </c>
      <c r="K33" s="4">
        <f>15.03/100</f>
        <v>0.15029999999999999</v>
      </c>
      <c r="L33" s="4">
        <f>0.35/100</f>
        <v>3.4999999999999996E-3</v>
      </c>
      <c r="M33" s="4">
        <v>0</v>
      </c>
      <c r="N33" s="5">
        <v>0</v>
      </c>
      <c r="O33" s="4">
        <f>10.14/100</f>
        <v>0.1014</v>
      </c>
      <c r="P33" s="4">
        <f>42.35/100</f>
        <v>0.42349999999999999</v>
      </c>
      <c r="Q33" s="4">
        <f>31.04/100</f>
        <v>0.31040000000000001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f>0.04/100</f>
        <v>4.0000000000000002E-4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f t="shared" si="0"/>
        <v>0.99089999999999989</v>
      </c>
    </row>
    <row r="34" spans="1:37" x14ac:dyDescent="0.25">
      <c r="A34" s="4">
        <v>26</v>
      </c>
      <c r="B34" s="4" t="s">
        <v>31</v>
      </c>
      <c r="C34" s="4" t="s">
        <v>32</v>
      </c>
      <c r="D34" s="4" t="s">
        <v>32</v>
      </c>
      <c r="E34" s="4" t="s">
        <v>32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f>4.27/100</f>
        <v>4.2699999999999995E-2</v>
      </c>
      <c r="L34" s="4">
        <v>0</v>
      </c>
      <c r="M34" s="4">
        <v>0</v>
      </c>
      <c r="N34" s="5">
        <v>0</v>
      </c>
      <c r="O34" s="4">
        <f>1.92/100</f>
        <v>1.9199999999999998E-2</v>
      </c>
      <c r="P34" s="4">
        <f>68.43/100</f>
        <v>0.68430000000000002</v>
      </c>
      <c r="Q34" s="4">
        <f>24.08/100</f>
        <v>0.24079999999999999</v>
      </c>
      <c r="R34" s="4">
        <f>0.9/100</f>
        <v>9.0000000000000011E-3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f t="shared" si="0"/>
        <v>0.996</v>
      </c>
    </row>
    <row r="35" spans="1:37" x14ac:dyDescent="0.25">
      <c r="A35" s="4">
        <v>26</v>
      </c>
      <c r="B35" s="4" t="s">
        <v>33</v>
      </c>
      <c r="C35" s="4" t="s">
        <v>32</v>
      </c>
      <c r="D35" s="4" t="s">
        <v>32</v>
      </c>
      <c r="E35" s="4" t="s">
        <v>32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f>12.72/100</f>
        <v>0.12720000000000001</v>
      </c>
      <c r="L35" s="4">
        <f>0.4/100</f>
        <v>4.0000000000000001E-3</v>
      </c>
      <c r="M35" s="4">
        <v>0</v>
      </c>
      <c r="N35" s="5">
        <v>0</v>
      </c>
      <c r="O35" s="4">
        <f>2.77/100</f>
        <v>2.7699999999999999E-2</v>
      </c>
      <c r="P35" s="4">
        <f>29.69/100</f>
        <v>0.2969</v>
      </c>
      <c r="Q35" s="4">
        <f>53.05/100</f>
        <v>0.53049999999999997</v>
      </c>
      <c r="R35" s="4">
        <f>1.14/100</f>
        <v>1.1399999999999999E-2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f t="shared" ref="AK35:AK66" si="1">SUM(F35:AC35)</f>
        <v>0.99769999999999992</v>
      </c>
    </row>
    <row r="36" spans="1:37" x14ac:dyDescent="0.25">
      <c r="A36" s="4">
        <v>27</v>
      </c>
      <c r="B36" s="4" t="s">
        <v>31</v>
      </c>
      <c r="C36" s="4" t="s">
        <v>32</v>
      </c>
      <c r="D36" s="4" t="s">
        <v>32</v>
      </c>
      <c r="E36" s="4" t="s">
        <v>32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f>1.42/100</f>
        <v>1.4199999999999999E-2</v>
      </c>
      <c r="L36" s="4">
        <v>0</v>
      </c>
      <c r="M36" s="4">
        <v>0</v>
      </c>
      <c r="N36" s="5">
        <v>0</v>
      </c>
      <c r="O36" s="4">
        <f>0.91/100</f>
        <v>9.1000000000000004E-3</v>
      </c>
      <c r="P36" s="4">
        <f>3.52/100</f>
        <v>3.5200000000000002E-2</v>
      </c>
      <c r="Q36" s="4">
        <f>4.91/100</f>
        <v>4.9100000000000005E-2</v>
      </c>
      <c r="R36" s="4">
        <f>0.31/100</f>
        <v>3.0999999999999999E-3</v>
      </c>
      <c r="S36" s="4">
        <f>88.93/100</f>
        <v>0.88930000000000009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f t="shared" si="1"/>
        <v>1</v>
      </c>
    </row>
    <row r="37" spans="1:37" x14ac:dyDescent="0.25">
      <c r="A37" s="4">
        <v>28</v>
      </c>
      <c r="B37" s="4" t="s">
        <v>31</v>
      </c>
      <c r="C37" s="4" t="s">
        <v>32</v>
      </c>
      <c r="D37" s="4" t="s">
        <v>32</v>
      </c>
      <c r="E37" s="4" t="s">
        <v>32</v>
      </c>
      <c r="F37" s="4">
        <v>0</v>
      </c>
      <c r="G37" s="4">
        <v>0</v>
      </c>
      <c r="H37" s="4">
        <v>0</v>
      </c>
      <c r="I37" s="4">
        <f>0.028/100</f>
        <v>2.8000000000000003E-4</v>
      </c>
      <c r="J37" s="4">
        <f>0.0097/100</f>
        <v>9.7E-5</v>
      </c>
      <c r="K37" s="4">
        <f>12.036/100</f>
        <v>0.12035999999999999</v>
      </c>
      <c r="L37" s="4">
        <f>0.133/100</f>
        <v>1.33E-3</v>
      </c>
      <c r="M37" s="4">
        <v>0</v>
      </c>
      <c r="N37" s="5">
        <v>0</v>
      </c>
      <c r="O37" s="4">
        <f>3.254/100</f>
        <v>3.2539999999999999E-2</v>
      </c>
      <c r="P37" s="4">
        <f>26.015/100</f>
        <v>0.26014999999999999</v>
      </c>
      <c r="Q37" s="4">
        <f>51.971/100</f>
        <v>0.51971000000000001</v>
      </c>
      <c r="R37" s="4">
        <f>5.41/100</f>
        <v>5.4100000000000002E-2</v>
      </c>
      <c r="S37" s="4">
        <v>0</v>
      </c>
      <c r="T37" s="4">
        <v>0</v>
      </c>
      <c r="U37" s="4">
        <f>0.276/100</f>
        <v>2.7600000000000003E-3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f t="shared" si="1"/>
        <v>0.99132699999999996</v>
      </c>
    </row>
    <row r="38" spans="1:37" x14ac:dyDescent="0.25">
      <c r="A38" s="4">
        <v>29</v>
      </c>
      <c r="B38" s="4" t="s">
        <v>31</v>
      </c>
      <c r="C38" s="4" t="s">
        <v>32</v>
      </c>
      <c r="D38" s="4" t="s">
        <v>32</v>
      </c>
      <c r="E38" s="4" t="s">
        <v>32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  <c r="S38" s="4">
        <v>0</v>
      </c>
      <c r="T38" s="4">
        <v>0</v>
      </c>
      <c r="U38" s="5">
        <v>0</v>
      </c>
      <c r="V38" s="5">
        <v>0</v>
      </c>
      <c r="W38" s="4">
        <v>0</v>
      </c>
      <c r="X38" s="4">
        <v>0</v>
      </c>
      <c r="Y38" s="4">
        <v>0</v>
      </c>
      <c r="Z38" s="4">
        <v>0</v>
      </c>
      <c r="AA38" s="5">
        <v>0</v>
      </c>
      <c r="AB38" s="5">
        <v>0</v>
      </c>
      <c r="AC38" s="4">
        <v>0</v>
      </c>
      <c r="AD38" s="5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f t="shared" si="1"/>
        <v>1</v>
      </c>
    </row>
    <row r="39" spans="1:37" x14ac:dyDescent="0.25">
      <c r="A39" s="4">
        <v>29</v>
      </c>
      <c r="B39" s="4" t="s">
        <v>31</v>
      </c>
      <c r="C39" s="4" t="s">
        <v>32</v>
      </c>
      <c r="D39" s="4" t="s">
        <v>32</v>
      </c>
      <c r="E39" s="4" t="s">
        <v>36</v>
      </c>
      <c r="F39" s="5">
        <v>0</v>
      </c>
      <c r="G39" s="5">
        <v>0</v>
      </c>
      <c r="H39" s="5">
        <v>0</v>
      </c>
      <c r="I39" s="5">
        <v>0</v>
      </c>
      <c r="J39" s="5">
        <v>1.2999999999999999E-2</v>
      </c>
      <c r="K39" s="5">
        <v>4.0500000000000001E-2</v>
      </c>
      <c r="L39" s="5">
        <v>5.8200000000000002E-2</v>
      </c>
      <c r="M39" s="5">
        <v>0</v>
      </c>
      <c r="N39" s="5">
        <v>0</v>
      </c>
      <c r="O39" s="5">
        <v>6.1000000000000004E-3</v>
      </c>
      <c r="P39" s="5">
        <v>0.83130000000000004</v>
      </c>
      <c r="Q39" s="5">
        <v>5.0500000000000003E-2</v>
      </c>
      <c r="R39" s="5">
        <v>5.0000000000000001E-4</v>
      </c>
      <c r="S39" s="4">
        <v>0</v>
      </c>
      <c r="T39" s="4">
        <v>0</v>
      </c>
      <c r="U39" s="5">
        <v>0</v>
      </c>
      <c r="V39" s="5">
        <v>0</v>
      </c>
      <c r="W39" s="4">
        <v>0</v>
      </c>
      <c r="X39" s="4">
        <v>0</v>
      </c>
      <c r="Y39" s="4">
        <v>0</v>
      </c>
      <c r="Z39" s="4">
        <v>0</v>
      </c>
      <c r="AA39" s="5">
        <v>0</v>
      </c>
      <c r="AB39" s="5">
        <v>0</v>
      </c>
      <c r="AC39" s="4">
        <v>0</v>
      </c>
      <c r="AD39" s="5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f t="shared" si="1"/>
        <v>1.0001</v>
      </c>
    </row>
    <row r="40" spans="1:37" x14ac:dyDescent="0.25">
      <c r="A40" s="4">
        <v>29</v>
      </c>
      <c r="B40" s="4" t="s">
        <v>33</v>
      </c>
      <c r="C40" s="4" t="s">
        <v>32</v>
      </c>
      <c r="D40" s="4" t="s">
        <v>32</v>
      </c>
      <c r="E40" s="4" t="s">
        <v>32</v>
      </c>
      <c r="F40" s="5">
        <v>0</v>
      </c>
      <c r="G40" s="5">
        <v>0</v>
      </c>
      <c r="H40" s="5">
        <v>0</v>
      </c>
      <c r="I40" s="5">
        <v>0</v>
      </c>
      <c r="J40" s="5">
        <v>2.0000000000000001E-4</v>
      </c>
      <c r="K40" s="5">
        <v>0.11840000000000001</v>
      </c>
      <c r="L40" s="5">
        <v>1.1999999999999999E-3</v>
      </c>
      <c r="M40" s="5">
        <v>0</v>
      </c>
      <c r="N40" s="5">
        <v>0</v>
      </c>
      <c r="O40" s="5">
        <v>2.1999999999999999E-2</v>
      </c>
      <c r="P40" s="5">
        <v>0.34849999999999998</v>
      </c>
      <c r="Q40" s="5">
        <v>0.4985</v>
      </c>
      <c r="R40" s="5">
        <v>3.0000000000000001E-3</v>
      </c>
      <c r="S40" s="4">
        <v>0</v>
      </c>
      <c r="T40" s="4">
        <v>0</v>
      </c>
      <c r="U40" s="5">
        <v>8.2000000000000007E-3</v>
      </c>
      <c r="V40" s="5">
        <v>0</v>
      </c>
      <c r="W40" s="4">
        <v>0</v>
      </c>
      <c r="X40" s="4">
        <v>0</v>
      </c>
      <c r="Y40" s="4">
        <v>0</v>
      </c>
      <c r="Z40" s="4">
        <v>0</v>
      </c>
      <c r="AA40" s="5">
        <v>0</v>
      </c>
      <c r="AB40" s="5">
        <v>0</v>
      </c>
      <c r="AC40" s="4">
        <v>0</v>
      </c>
      <c r="AD40" s="5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f t="shared" si="1"/>
        <v>0.99999999999999989</v>
      </c>
    </row>
    <row r="41" spans="1:37" x14ac:dyDescent="0.25">
      <c r="A41" s="4">
        <v>29</v>
      </c>
      <c r="B41" s="4" t="s">
        <v>33</v>
      </c>
      <c r="C41" s="4" t="s">
        <v>32</v>
      </c>
      <c r="D41" s="4" t="s">
        <v>32</v>
      </c>
      <c r="E41" s="4" t="s">
        <v>36</v>
      </c>
      <c r="F41" s="5">
        <v>0</v>
      </c>
      <c r="G41" s="5">
        <v>0</v>
      </c>
      <c r="H41" s="5">
        <v>0</v>
      </c>
      <c r="I41" s="5">
        <v>0</v>
      </c>
      <c r="J41" s="5">
        <v>1.2999999999999999E-2</v>
      </c>
      <c r="K41" s="5">
        <v>4.0500000000000001E-2</v>
      </c>
      <c r="L41" s="5">
        <v>5.8200000000000002E-2</v>
      </c>
      <c r="M41" s="5">
        <v>0</v>
      </c>
      <c r="N41" s="5">
        <v>0</v>
      </c>
      <c r="O41" s="5">
        <v>6.1000000000000004E-3</v>
      </c>
      <c r="P41" s="5">
        <v>0.83130000000000004</v>
      </c>
      <c r="Q41" s="5">
        <v>5.0500000000000003E-2</v>
      </c>
      <c r="R41" s="5">
        <v>5.0000000000000001E-4</v>
      </c>
      <c r="S41" s="4">
        <v>0</v>
      </c>
      <c r="T41" s="4">
        <v>0</v>
      </c>
      <c r="U41" s="5">
        <v>0</v>
      </c>
      <c r="V41" s="5">
        <v>0</v>
      </c>
      <c r="W41" s="4">
        <v>0</v>
      </c>
      <c r="X41" s="4">
        <v>0</v>
      </c>
      <c r="Y41" s="4">
        <v>0</v>
      </c>
      <c r="Z41" s="4">
        <v>0</v>
      </c>
      <c r="AA41" s="5">
        <v>0</v>
      </c>
      <c r="AB41" s="5">
        <v>0</v>
      </c>
      <c r="AC41" s="4">
        <v>0</v>
      </c>
      <c r="AD41" s="5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f t="shared" si="1"/>
        <v>1.0001</v>
      </c>
    </row>
    <row r="42" spans="1:37" x14ac:dyDescent="0.25">
      <c r="A42" s="4">
        <v>30</v>
      </c>
      <c r="B42" s="4" t="s">
        <v>31</v>
      </c>
      <c r="C42" s="4" t="s">
        <v>32</v>
      </c>
      <c r="D42" s="4" t="s">
        <v>32</v>
      </c>
      <c r="E42" s="4" t="s">
        <v>32</v>
      </c>
      <c r="F42" s="5">
        <v>0</v>
      </c>
      <c r="G42" s="5">
        <v>0</v>
      </c>
      <c r="H42" s="5">
        <v>0</v>
      </c>
      <c r="I42" s="5">
        <v>0</v>
      </c>
      <c r="J42" s="5">
        <v>3.2000000000000002E-3</v>
      </c>
      <c r="K42" s="5">
        <v>0.15529999999999999</v>
      </c>
      <c r="L42" s="5">
        <v>1.1999999999999999E-3</v>
      </c>
      <c r="M42" s="5">
        <v>0</v>
      </c>
      <c r="N42" s="5">
        <v>0</v>
      </c>
      <c r="O42" s="5">
        <v>3.4000000000000002E-2</v>
      </c>
      <c r="P42" s="5">
        <v>0.21229999999999999</v>
      </c>
      <c r="Q42" s="5">
        <v>0.54069999999999996</v>
      </c>
      <c r="R42" s="5">
        <v>4.5900000000000003E-2</v>
      </c>
      <c r="S42" s="4">
        <v>0</v>
      </c>
      <c r="T42" s="4">
        <v>0</v>
      </c>
      <c r="U42" s="5">
        <v>3.5999999999999999E-3</v>
      </c>
      <c r="V42" s="5">
        <v>0</v>
      </c>
      <c r="W42" s="4">
        <v>0</v>
      </c>
      <c r="X42" s="4">
        <v>0</v>
      </c>
      <c r="Y42" s="5">
        <v>3.8E-3</v>
      </c>
      <c r="Z42" s="4">
        <v>0</v>
      </c>
      <c r="AA42" s="5">
        <v>0</v>
      </c>
      <c r="AB42" s="5">
        <v>0</v>
      </c>
      <c r="AC42" s="4">
        <v>0</v>
      </c>
      <c r="AD42" s="5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f t="shared" si="1"/>
        <v>1</v>
      </c>
    </row>
    <row r="43" spans="1:37" x14ac:dyDescent="0.25">
      <c r="A43" s="4">
        <v>30</v>
      </c>
      <c r="B43" s="4" t="s">
        <v>31</v>
      </c>
      <c r="C43" s="4" t="s">
        <v>32</v>
      </c>
      <c r="D43" s="4" t="s">
        <v>32</v>
      </c>
      <c r="E43" s="4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1.8E-3</v>
      </c>
      <c r="K43" s="5">
        <v>6.3799999999999996E-2</v>
      </c>
      <c r="L43" s="5">
        <v>0</v>
      </c>
      <c r="M43" s="5">
        <v>0</v>
      </c>
      <c r="N43" s="5">
        <v>0</v>
      </c>
      <c r="O43" s="5">
        <v>3.2800000000000003E-2</v>
      </c>
      <c r="P43" s="5">
        <v>0.17150000000000001</v>
      </c>
      <c r="Q43" s="5">
        <v>0.72409999999999997</v>
      </c>
      <c r="R43" s="5">
        <v>4.1000000000000003E-3</v>
      </c>
      <c r="S43" s="4">
        <v>0</v>
      </c>
      <c r="T43" s="4">
        <v>0</v>
      </c>
      <c r="U43" s="5">
        <v>1.8E-3</v>
      </c>
      <c r="V43" s="5">
        <v>0</v>
      </c>
      <c r="W43" s="4">
        <v>0</v>
      </c>
      <c r="X43" s="4">
        <v>0</v>
      </c>
      <c r="Y43" s="5">
        <v>0</v>
      </c>
      <c r="Z43" s="4">
        <v>0</v>
      </c>
      <c r="AA43" s="5">
        <v>0</v>
      </c>
      <c r="AB43" s="5">
        <v>0</v>
      </c>
      <c r="AC43" s="4">
        <v>0</v>
      </c>
      <c r="AD43" s="5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f t="shared" si="1"/>
        <v>0.99990000000000001</v>
      </c>
    </row>
    <row r="44" spans="1:37" x14ac:dyDescent="0.25">
      <c r="A44" s="4">
        <v>30</v>
      </c>
      <c r="B44" s="4" t="s">
        <v>33</v>
      </c>
      <c r="C44" s="4" t="s">
        <v>32</v>
      </c>
      <c r="D44" s="4" t="s">
        <v>32</v>
      </c>
      <c r="E44" s="4" t="s">
        <v>32</v>
      </c>
      <c r="F44" s="5">
        <v>0</v>
      </c>
      <c r="G44" s="5">
        <v>0</v>
      </c>
      <c r="H44" s="5">
        <v>0</v>
      </c>
      <c r="I44" s="5">
        <v>0</v>
      </c>
      <c r="J44" s="5">
        <v>7.4999999999999997E-3</v>
      </c>
      <c r="K44" s="5">
        <v>0.22789999999999999</v>
      </c>
      <c r="L44" s="5">
        <v>9.2999999999999992E-3</v>
      </c>
      <c r="M44" s="5">
        <v>0</v>
      </c>
      <c r="N44" s="5">
        <v>0</v>
      </c>
      <c r="O44" s="5">
        <v>2.35E-2</v>
      </c>
      <c r="P44" s="5">
        <v>0.16039999999999999</v>
      </c>
      <c r="Q44" s="5">
        <v>0.56410000000000005</v>
      </c>
      <c r="R44" s="5">
        <v>1.6000000000000001E-3</v>
      </c>
      <c r="S44" s="4">
        <v>0</v>
      </c>
      <c r="T44" s="4">
        <v>0</v>
      </c>
      <c r="U44" s="5">
        <v>2.5999999999999999E-3</v>
      </c>
      <c r="V44" s="5">
        <v>0</v>
      </c>
      <c r="W44" s="4">
        <v>0</v>
      </c>
      <c r="X44" s="4">
        <v>0</v>
      </c>
      <c r="Y44" s="5">
        <v>1.9E-3</v>
      </c>
      <c r="Z44" s="4">
        <v>0</v>
      </c>
      <c r="AA44" s="5">
        <v>0</v>
      </c>
      <c r="AB44" s="5">
        <v>0</v>
      </c>
      <c r="AC44" s="4">
        <v>0</v>
      </c>
      <c r="AD44" s="5">
        <v>1.1999999999999999E-3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f t="shared" si="1"/>
        <v>0.99880000000000013</v>
      </c>
    </row>
    <row r="45" spans="1:37" x14ac:dyDescent="0.25">
      <c r="A45" s="4">
        <v>30</v>
      </c>
      <c r="B45" s="4" t="s">
        <v>33</v>
      </c>
      <c r="C45" s="4" t="s">
        <v>32</v>
      </c>
      <c r="D45" s="4" t="s">
        <v>32</v>
      </c>
      <c r="E45" s="4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1.8E-3</v>
      </c>
      <c r="K45" s="5">
        <v>6.3799999999999996E-2</v>
      </c>
      <c r="L45" s="5">
        <v>0</v>
      </c>
      <c r="M45" s="5">
        <v>0</v>
      </c>
      <c r="N45" s="5">
        <v>0</v>
      </c>
      <c r="O45" s="5">
        <v>3.2800000000000003E-2</v>
      </c>
      <c r="P45" s="5">
        <v>0.17150000000000001</v>
      </c>
      <c r="Q45" s="5">
        <v>0.72409999999999997</v>
      </c>
      <c r="R45" s="5">
        <v>4.1000000000000003E-3</v>
      </c>
      <c r="S45" s="4">
        <v>0</v>
      </c>
      <c r="T45" s="4">
        <v>0</v>
      </c>
      <c r="U45" s="5">
        <v>1.8E-3</v>
      </c>
      <c r="V45" s="5">
        <v>0</v>
      </c>
      <c r="W45" s="4">
        <v>0</v>
      </c>
      <c r="X45" s="4">
        <v>0</v>
      </c>
      <c r="Y45" s="5">
        <v>0</v>
      </c>
      <c r="Z45" s="4">
        <v>0</v>
      </c>
      <c r="AA45" s="5">
        <v>0</v>
      </c>
      <c r="AB45" s="5">
        <v>0</v>
      </c>
      <c r="AC45" s="4">
        <v>0</v>
      </c>
      <c r="AD45" s="5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f t="shared" si="1"/>
        <v>0.99990000000000001</v>
      </c>
    </row>
    <row r="46" spans="1:37" x14ac:dyDescent="0.25">
      <c r="A46" s="4">
        <v>31</v>
      </c>
      <c r="B46" s="4" t="s">
        <v>31</v>
      </c>
      <c r="C46" s="4" t="s">
        <v>32</v>
      </c>
      <c r="D46" s="4" t="s">
        <v>32</v>
      </c>
      <c r="E46" s="4" t="s">
        <v>32</v>
      </c>
      <c r="F46" s="5">
        <v>0</v>
      </c>
      <c r="G46" s="5">
        <v>0</v>
      </c>
      <c r="H46" s="5">
        <v>0</v>
      </c>
      <c r="I46" s="5">
        <v>0</v>
      </c>
      <c r="J46" s="5">
        <v>9.5999999999999992E-3</v>
      </c>
      <c r="K46" s="5">
        <v>0.1817</v>
      </c>
      <c r="L46" s="5">
        <v>6.1000000000000004E-3</v>
      </c>
      <c r="M46" s="5">
        <v>0</v>
      </c>
      <c r="N46" s="5">
        <v>0</v>
      </c>
      <c r="O46" s="5">
        <v>1.54E-2</v>
      </c>
      <c r="P46" s="5">
        <v>0.38500000000000001</v>
      </c>
      <c r="Q46" s="5">
        <v>0.35610000000000003</v>
      </c>
      <c r="R46" s="5">
        <v>2.6700000000000002E-2</v>
      </c>
      <c r="S46" s="4">
        <v>0</v>
      </c>
      <c r="T46" s="4">
        <v>0</v>
      </c>
      <c r="U46" s="5">
        <v>1.78E-2</v>
      </c>
      <c r="V46" s="5">
        <v>0</v>
      </c>
      <c r="W46" s="4">
        <v>0</v>
      </c>
      <c r="X46" s="4">
        <v>0</v>
      </c>
      <c r="Y46" s="5">
        <v>0</v>
      </c>
      <c r="Z46" s="4">
        <v>0</v>
      </c>
      <c r="AA46" s="5">
        <v>0</v>
      </c>
      <c r="AB46" s="5">
        <v>0</v>
      </c>
      <c r="AC46" s="4">
        <v>0</v>
      </c>
      <c r="AD46" s="5">
        <v>1.6000000000000001E-3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f t="shared" si="1"/>
        <v>0.99839999999999995</v>
      </c>
    </row>
    <row r="47" spans="1:37" x14ac:dyDescent="0.25">
      <c r="A47" s="4">
        <v>31</v>
      </c>
      <c r="B47" s="4" t="s">
        <v>31</v>
      </c>
      <c r="C47" s="4" t="s">
        <v>32</v>
      </c>
      <c r="D47" s="4" t="s">
        <v>32</v>
      </c>
      <c r="E47" s="4" t="s">
        <v>36</v>
      </c>
      <c r="F47" s="5">
        <v>0</v>
      </c>
      <c r="G47" s="5">
        <v>0</v>
      </c>
      <c r="H47" s="5">
        <v>0</v>
      </c>
      <c r="I47" s="5">
        <v>0</v>
      </c>
      <c r="J47" s="5">
        <v>8.8999999999999999E-3</v>
      </c>
      <c r="K47" s="5">
        <v>5.3600000000000002E-2</v>
      </c>
      <c r="L47" s="5">
        <v>1.1999999999999999E-3</v>
      </c>
      <c r="M47" s="5">
        <v>0</v>
      </c>
      <c r="N47" s="5">
        <v>0</v>
      </c>
      <c r="O47" s="5">
        <v>1.4200000000000001E-2</v>
      </c>
      <c r="P47" s="5">
        <v>0.7802</v>
      </c>
      <c r="Q47" s="5">
        <v>0.1197</v>
      </c>
      <c r="R47" s="5">
        <v>5.0000000000000001E-3</v>
      </c>
      <c r="S47" s="4">
        <v>0</v>
      </c>
      <c r="T47" s="4">
        <v>0</v>
      </c>
      <c r="U47" s="5">
        <v>5.8999999999999999E-3</v>
      </c>
      <c r="V47" s="5">
        <v>0</v>
      </c>
      <c r="W47" s="4">
        <v>0</v>
      </c>
      <c r="X47" s="4">
        <v>0</v>
      </c>
      <c r="Y47" s="5">
        <v>1.1299999999999999E-2</v>
      </c>
      <c r="Z47" s="4">
        <v>0</v>
      </c>
      <c r="AA47" s="5">
        <v>0</v>
      </c>
      <c r="AB47" s="5">
        <v>0</v>
      </c>
      <c r="AC47" s="4">
        <v>0</v>
      </c>
      <c r="AD47" s="5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f t="shared" si="1"/>
        <v>1</v>
      </c>
    </row>
    <row r="48" spans="1:37" x14ac:dyDescent="0.25">
      <c r="A48" s="4">
        <v>32</v>
      </c>
      <c r="B48" s="4" t="s">
        <v>31</v>
      </c>
      <c r="C48" s="4" t="s">
        <v>32</v>
      </c>
      <c r="D48" s="4" t="s">
        <v>32</v>
      </c>
      <c r="E48" s="4" t="s">
        <v>32</v>
      </c>
      <c r="F48" s="5">
        <v>0</v>
      </c>
      <c r="G48" s="5">
        <v>0</v>
      </c>
      <c r="H48" s="5">
        <v>0</v>
      </c>
      <c r="I48" s="5">
        <v>0</v>
      </c>
      <c r="J48" s="5">
        <v>2.1000000000000001E-2</v>
      </c>
      <c r="K48" s="5">
        <v>0.18940000000000001</v>
      </c>
      <c r="L48" s="5">
        <v>0</v>
      </c>
      <c r="M48" s="5">
        <v>0</v>
      </c>
      <c r="N48" s="5">
        <v>0</v>
      </c>
      <c r="O48" s="5">
        <v>1.72E-2</v>
      </c>
      <c r="P48" s="5">
        <v>0.37359999999999999</v>
      </c>
      <c r="Q48" s="5">
        <v>0.35680000000000001</v>
      </c>
      <c r="R48" s="5">
        <v>2.0199999999999999E-2</v>
      </c>
      <c r="S48" s="4">
        <v>0</v>
      </c>
      <c r="T48" s="4">
        <v>0</v>
      </c>
      <c r="U48" s="5">
        <v>5.7999999999999996E-3</v>
      </c>
      <c r="V48" s="5">
        <v>0</v>
      </c>
      <c r="W48" s="4">
        <v>0</v>
      </c>
      <c r="X48" s="4">
        <v>0</v>
      </c>
      <c r="Y48" s="5">
        <v>5.1999999999999998E-3</v>
      </c>
      <c r="Z48" s="4">
        <v>0</v>
      </c>
      <c r="AA48" s="5">
        <v>2.7000000000000001E-3</v>
      </c>
      <c r="AB48" s="5">
        <v>4.1000000000000003E-3</v>
      </c>
      <c r="AC48" s="4">
        <v>0</v>
      </c>
      <c r="AD48" s="5">
        <v>4.0000000000000001E-3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f t="shared" si="1"/>
        <v>0.996</v>
      </c>
    </row>
    <row r="49" spans="1:37" x14ac:dyDescent="0.25">
      <c r="A49" s="4">
        <v>32</v>
      </c>
      <c r="B49" s="4" t="s">
        <v>31</v>
      </c>
      <c r="C49" s="4" t="s">
        <v>32</v>
      </c>
      <c r="D49" s="4" t="s">
        <v>32</v>
      </c>
      <c r="E49" s="4" t="s">
        <v>36</v>
      </c>
      <c r="F49" s="5">
        <v>0</v>
      </c>
      <c r="G49" s="5">
        <v>0</v>
      </c>
      <c r="H49" s="5">
        <v>0</v>
      </c>
      <c r="I49" s="5">
        <v>0</v>
      </c>
      <c r="J49" s="5">
        <v>2.1000000000000001E-2</v>
      </c>
      <c r="K49" s="5">
        <v>0.18940000000000001</v>
      </c>
      <c r="L49" s="5">
        <v>0</v>
      </c>
      <c r="M49" s="5">
        <v>0</v>
      </c>
      <c r="N49" s="5">
        <v>0</v>
      </c>
      <c r="O49" s="5">
        <v>1.72E-2</v>
      </c>
      <c r="P49" s="5">
        <v>0.37359999999999999</v>
      </c>
      <c r="Q49" s="5">
        <v>0.35680000000000001</v>
      </c>
      <c r="R49" s="5">
        <v>2.0199999999999999E-2</v>
      </c>
      <c r="S49" s="4">
        <v>0</v>
      </c>
      <c r="T49" s="4">
        <v>0</v>
      </c>
      <c r="U49" s="5">
        <v>5.7999999999999996E-3</v>
      </c>
      <c r="V49" s="5">
        <v>0</v>
      </c>
      <c r="W49" s="4">
        <v>0</v>
      </c>
      <c r="X49" s="4">
        <v>0</v>
      </c>
      <c r="Y49" s="5">
        <v>5.1999999999999998E-3</v>
      </c>
      <c r="Z49" s="4">
        <v>0</v>
      </c>
      <c r="AA49" s="5">
        <v>2.7000000000000001E-3</v>
      </c>
      <c r="AB49" s="5">
        <v>4.1000000000000003E-3</v>
      </c>
      <c r="AC49" s="4">
        <v>0</v>
      </c>
      <c r="AD49" s="5">
        <v>4.0000000000000001E-3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f t="shared" si="1"/>
        <v>0.996</v>
      </c>
    </row>
    <row r="50" spans="1:37" x14ac:dyDescent="0.25">
      <c r="A50" s="4">
        <v>33</v>
      </c>
      <c r="B50" s="4" t="s">
        <v>31</v>
      </c>
      <c r="C50" s="4" t="s">
        <v>32</v>
      </c>
      <c r="D50" s="4" t="s">
        <v>32</v>
      </c>
      <c r="E50" s="4" t="s">
        <v>32</v>
      </c>
      <c r="F50" s="5">
        <v>0</v>
      </c>
      <c r="G50" s="5">
        <v>0</v>
      </c>
      <c r="H50" s="5">
        <v>0</v>
      </c>
      <c r="I50" s="5">
        <v>0</v>
      </c>
      <c r="J50" s="5">
        <v>2.0000000000000001E-4</v>
      </c>
      <c r="K50" s="5">
        <v>0.11840000000000001</v>
      </c>
      <c r="L50" s="5">
        <v>1.1999999999999999E-3</v>
      </c>
      <c r="M50" s="5">
        <v>0</v>
      </c>
      <c r="N50" s="5">
        <v>0</v>
      </c>
      <c r="O50" s="5">
        <v>2.1999999999999999E-2</v>
      </c>
      <c r="P50" s="5">
        <v>0.34849999999999998</v>
      </c>
      <c r="Q50" s="5">
        <v>0.4985</v>
      </c>
      <c r="R50" s="5">
        <v>3.0000000000000001E-3</v>
      </c>
      <c r="S50" s="4">
        <v>0</v>
      </c>
      <c r="T50" s="4">
        <v>0</v>
      </c>
      <c r="U50" s="5">
        <v>8.2000000000000007E-3</v>
      </c>
      <c r="V50" s="5">
        <v>0</v>
      </c>
      <c r="W50" s="4">
        <v>0</v>
      </c>
      <c r="X50" s="4">
        <v>0</v>
      </c>
      <c r="Y50" s="5">
        <v>0</v>
      </c>
      <c r="Z50" s="4">
        <v>0</v>
      </c>
      <c r="AA50" s="5">
        <v>0</v>
      </c>
      <c r="AB50" s="5">
        <v>0</v>
      </c>
      <c r="AC50" s="4">
        <v>0</v>
      </c>
      <c r="AD50" s="5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f t="shared" si="1"/>
        <v>0.99999999999999989</v>
      </c>
    </row>
    <row r="51" spans="1:37" x14ac:dyDescent="0.25">
      <c r="A51" s="4">
        <v>33</v>
      </c>
      <c r="B51" s="4" t="s">
        <v>31</v>
      </c>
      <c r="C51" s="4" t="s">
        <v>32</v>
      </c>
      <c r="D51" s="4" t="s">
        <v>32</v>
      </c>
      <c r="E51" s="4" t="s">
        <v>36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4.0500000000000001E-2</v>
      </c>
      <c r="L51" s="5">
        <v>5.8200000000000002E-2</v>
      </c>
      <c r="M51" s="5">
        <v>0</v>
      </c>
      <c r="N51" s="5">
        <v>0</v>
      </c>
      <c r="O51" s="5">
        <v>0</v>
      </c>
      <c r="P51" s="5">
        <v>0.83130000000000004</v>
      </c>
      <c r="Q51" s="5">
        <v>5.0500000000000003E-2</v>
      </c>
      <c r="R51" s="5">
        <v>0</v>
      </c>
      <c r="S51" s="4">
        <v>0</v>
      </c>
      <c r="T51" s="4">
        <v>0</v>
      </c>
      <c r="U51" s="5">
        <v>0</v>
      </c>
      <c r="V51" s="5">
        <v>0</v>
      </c>
      <c r="W51" s="4">
        <v>0</v>
      </c>
      <c r="X51" s="4">
        <v>0</v>
      </c>
      <c r="Y51" s="5">
        <v>0</v>
      </c>
      <c r="Z51" s="4">
        <v>0</v>
      </c>
      <c r="AA51" s="5">
        <v>0</v>
      </c>
      <c r="AB51" s="5">
        <v>0</v>
      </c>
      <c r="AC51" s="4">
        <v>0</v>
      </c>
      <c r="AD51" s="5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f t="shared" si="1"/>
        <v>0.98050000000000004</v>
      </c>
    </row>
    <row r="52" spans="1:37" x14ac:dyDescent="0.25">
      <c r="A52" s="4">
        <v>34</v>
      </c>
      <c r="B52" s="4" t="s">
        <v>31</v>
      </c>
      <c r="C52" s="4" t="s">
        <v>37</v>
      </c>
      <c r="D52" s="4" t="s">
        <v>32</v>
      </c>
      <c r="E52" s="4" t="s">
        <v>32</v>
      </c>
      <c r="F52" s="5">
        <v>0</v>
      </c>
      <c r="G52" s="5">
        <v>0</v>
      </c>
      <c r="H52" s="5">
        <v>0</v>
      </c>
      <c r="I52" s="5">
        <v>4.8999999999999998E-3</v>
      </c>
      <c r="J52" s="5">
        <v>9.2999999999999992E-3</v>
      </c>
      <c r="K52" s="5">
        <v>0.4249</v>
      </c>
      <c r="L52" s="5">
        <v>6.9999999999999999E-4</v>
      </c>
      <c r="M52" s="5">
        <v>0</v>
      </c>
      <c r="N52" s="5">
        <v>0</v>
      </c>
      <c r="O52" s="5">
        <v>4.9099999999999998E-2</v>
      </c>
      <c r="P52" s="5">
        <v>0.41439999999999999</v>
      </c>
      <c r="Q52" s="5">
        <v>9.2200000000000004E-2</v>
      </c>
      <c r="R52" s="5">
        <v>0</v>
      </c>
      <c r="S52" s="4">
        <v>0</v>
      </c>
      <c r="T52" s="4">
        <v>0</v>
      </c>
      <c r="U52" s="5">
        <v>4.5999999999999999E-3</v>
      </c>
      <c r="V52" s="5">
        <v>0</v>
      </c>
      <c r="W52" s="4">
        <v>0</v>
      </c>
      <c r="X52" s="4">
        <v>0</v>
      </c>
      <c r="Y52" s="5">
        <v>0</v>
      </c>
      <c r="Z52" s="4">
        <v>0</v>
      </c>
      <c r="AA52" s="5">
        <v>0</v>
      </c>
      <c r="AB52" s="5">
        <v>0</v>
      </c>
      <c r="AC52" s="4">
        <v>0</v>
      </c>
      <c r="AD52" s="5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f t="shared" si="1"/>
        <v>1.0001</v>
      </c>
    </row>
    <row r="53" spans="1:37" x14ac:dyDescent="0.25">
      <c r="A53" s="4">
        <v>34</v>
      </c>
      <c r="B53" s="4" t="s">
        <v>31</v>
      </c>
      <c r="C53" s="4" t="s">
        <v>32</v>
      </c>
      <c r="D53" s="4" t="s">
        <v>32</v>
      </c>
      <c r="E53" s="4" t="s">
        <v>36</v>
      </c>
      <c r="F53" s="5">
        <v>0</v>
      </c>
      <c r="G53" s="5">
        <v>0</v>
      </c>
      <c r="H53" s="5">
        <v>0</v>
      </c>
      <c r="I53" s="5">
        <v>1.8E-3</v>
      </c>
      <c r="J53" s="5">
        <v>2.3300000000000001E-2</v>
      </c>
      <c r="K53" s="5">
        <v>0.96440000000000003</v>
      </c>
      <c r="L53" s="5">
        <v>0</v>
      </c>
      <c r="M53" s="5">
        <v>0</v>
      </c>
      <c r="N53" s="5">
        <v>0</v>
      </c>
      <c r="O53" s="5">
        <v>1.0500000000000001E-2</v>
      </c>
      <c r="P53" s="5">
        <v>0</v>
      </c>
      <c r="Q53" s="5">
        <v>0</v>
      </c>
      <c r="R53" s="5">
        <v>0</v>
      </c>
      <c r="S53" s="4">
        <v>0</v>
      </c>
      <c r="T53" s="4">
        <v>0</v>
      </c>
      <c r="U53" s="5">
        <v>0</v>
      </c>
      <c r="V53" s="5">
        <v>0</v>
      </c>
      <c r="W53" s="4">
        <v>0</v>
      </c>
      <c r="X53" s="4">
        <v>0</v>
      </c>
      <c r="Y53" s="5">
        <v>0</v>
      </c>
      <c r="Z53" s="4">
        <v>0</v>
      </c>
      <c r="AA53" s="5">
        <v>0</v>
      </c>
      <c r="AB53" s="5">
        <v>0</v>
      </c>
      <c r="AC53" s="4">
        <v>0</v>
      </c>
      <c r="AD53" s="5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f t="shared" si="1"/>
        <v>1</v>
      </c>
    </row>
    <row r="54" spans="1:37" x14ac:dyDescent="0.25">
      <c r="A54" s="4">
        <v>34</v>
      </c>
      <c r="B54" s="4" t="s">
        <v>33</v>
      </c>
      <c r="C54" s="4" t="s">
        <v>32</v>
      </c>
      <c r="D54" s="4" t="s">
        <v>32</v>
      </c>
      <c r="E54" s="4" t="s">
        <v>32</v>
      </c>
      <c r="F54" s="5">
        <v>0</v>
      </c>
      <c r="G54" s="5">
        <v>0</v>
      </c>
      <c r="H54" s="5">
        <v>0</v>
      </c>
      <c r="I54" s="5">
        <v>4.8999999999999998E-3</v>
      </c>
      <c r="J54" s="5">
        <v>9.2999999999999992E-3</v>
      </c>
      <c r="K54" s="5">
        <v>0.4249</v>
      </c>
      <c r="L54" s="5">
        <v>6.9999999999999999E-4</v>
      </c>
      <c r="M54" s="5">
        <v>0</v>
      </c>
      <c r="N54" s="5">
        <v>0</v>
      </c>
      <c r="O54" s="5">
        <v>4.9099999999999998E-2</v>
      </c>
      <c r="P54" s="5">
        <v>0.41439999999999999</v>
      </c>
      <c r="Q54" s="5">
        <v>9.2200000000000004E-2</v>
      </c>
      <c r="R54" s="5">
        <v>0</v>
      </c>
      <c r="S54" s="4">
        <v>0</v>
      </c>
      <c r="T54" s="4">
        <v>0</v>
      </c>
      <c r="U54" s="5">
        <v>4.5999999999999999E-3</v>
      </c>
      <c r="V54" s="5">
        <v>0</v>
      </c>
      <c r="W54" s="4">
        <v>0</v>
      </c>
      <c r="X54" s="4">
        <v>0</v>
      </c>
      <c r="Y54" s="5">
        <v>0</v>
      </c>
      <c r="Z54" s="4">
        <v>0</v>
      </c>
      <c r="AA54" s="5">
        <v>0</v>
      </c>
      <c r="AB54" s="5">
        <v>0</v>
      </c>
      <c r="AC54" s="4">
        <v>0</v>
      </c>
      <c r="AD54" s="5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f t="shared" si="1"/>
        <v>1.0001</v>
      </c>
    </row>
    <row r="55" spans="1:37" x14ac:dyDescent="0.25">
      <c r="A55" s="4">
        <v>34</v>
      </c>
      <c r="B55" s="4" t="s">
        <v>33</v>
      </c>
      <c r="C55" s="4" t="s">
        <v>32</v>
      </c>
      <c r="D55" s="4" t="s">
        <v>32</v>
      </c>
      <c r="E55" s="4" t="s">
        <v>36</v>
      </c>
      <c r="F55" s="5">
        <v>0</v>
      </c>
      <c r="G55" s="5">
        <v>0</v>
      </c>
      <c r="H55" s="5">
        <v>0</v>
      </c>
      <c r="I55" s="4">
        <f>1.13/100</f>
        <v>1.1299999999999999E-2</v>
      </c>
      <c r="J55" s="5">
        <v>0</v>
      </c>
      <c r="K55" s="4">
        <f>5.36/100</f>
        <v>5.3600000000000002E-2</v>
      </c>
      <c r="L55" s="5">
        <v>0</v>
      </c>
      <c r="M55" s="5">
        <v>0</v>
      </c>
      <c r="N55" s="5">
        <v>0</v>
      </c>
      <c r="O55" s="4">
        <f>1.42/100</f>
        <v>1.4199999999999999E-2</v>
      </c>
      <c r="P55" s="4">
        <f>0.7802</f>
        <v>0.7802</v>
      </c>
      <c r="Q55" s="4">
        <f>0.1197</f>
        <v>0.1197</v>
      </c>
      <c r="R55" s="5">
        <v>0</v>
      </c>
      <c r="S55" s="4">
        <v>0</v>
      </c>
      <c r="T55" s="4">
        <v>0</v>
      </c>
      <c r="U55" s="5">
        <v>0</v>
      </c>
      <c r="V55" s="5">
        <v>0</v>
      </c>
      <c r="W55" s="4">
        <v>0</v>
      </c>
      <c r="X55" s="4">
        <v>0</v>
      </c>
      <c r="Y55" s="5">
        <v>0</v>
      </c>
      <c r="Z55" s="4">
        <v>0</v>
      </c>
      <c r="AA55" s="5">
        <v>0</v>
      </c>
      <c r="AB55" s="5">
        <v>0</v>
      </c>
      <c r="AC55" s="4">
        <v>0</v>
      </c>
      <c r="AD55" s="5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f t="shared" si="1"/>
        <v>0.97899999999999998</v>
      </c>
    </row>
    <row r="56" spans="1:37" x14ac:dyDescent="0.25">
      <c r="A56" s="4">
        <v>35</v>
      </c>
      <c r="B56" s="4" t="s">
        <v>31</v>
      </c>
      <c r="C56" s="4" t="s">
        <v>32</v>
      </c>
      <c r="D56" s="4" t="s">
        <v>32</v>
      </c>
      <c r="E56" s="4" t="s">
        <v>32</v>
      </c>
      <c r="F56" s="5">
        <v>0</v>
      </c>
      <c r="G56" s="5">
        <v>0</v>
      </c>
      <c r="H56" s="5">
        <v>0</v>
      </c>
      <c r="I56" s="5">
        <v>0</v>
      </c>
      <c r="J56" s="5">
        <v>5.0000000000000001E-4</v>
      </c>
      <c r="K56" s="5">
        <v>6.7599999999999993E-2</v>
      </c>
      <c r="L56" s="5">
        <v>1.6999999999999999E-3</v>
      </c>
      <c r="M56" s="5">
        <v>0</v>
      </c>
      <c r="N56" s="5">
        <v>0</v>
      </c>
      <c r="O56" s="5">
        <v>2.1299999999999999E-2</v>
      </c>
      <c r="P56" s="5">
        <v>0.48449999999999999</v>
      </c>
      <c r="Q56" s="5">
        <v>0.32029999999999997</v>
      </c>
      <c r="R56" s="5">
        <v>9.2399999999999996E-2</v>
      </c>
      <c r="S56" s="4">
        <v>0</v>
      </c>
      <c r="T56" s="4">
        <v>0</v>
      </c>
      <c r="U56" s="5">
        <v>5.4000000000000003E-3</v>
      </c>
      <c r="V56" s="5">
        <v>0</v>
      </c>
      <c r="W56" s="4">
        <v>0</v>
      </c>
      <c r="X56" s="4">
        <v>0</v>
      </c>
      <c r="Y56" s="5">
        <v>3.5999999999999999E-3</v>
      </c>
      <c r="Z56" s="5">
        <v>2.8E-3</v>
      </c>
      <c r="AA56" s="5">
        <v>0</v>
      </c>
      <c r="AB56" s="5">
        <v>0</v>
      </c>
      <c r="AC56" s="4">
        <v>0</v>
      </c>
      <c r="AD56" s="5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f t="shared" si="1"/>
        <v>1.0001</v>
      </c>
    </row>
    <row r="57" spans="1:37" x14ac:dyDescent="0.25">
      <c r="A57" s="4">
        <v>35</v>
      </c>
      <c r="B57" s="4" t="s">
        <v>31</v>
      </c>
      <c r="C57" s="4" t="s">
        <v>32</v>
      </c>
      <c r="D57" s="4" t="s">
        <v>32</v>
      </c>
      <c r="E57" s="4" t="s">
        <v>36</v>
      </c>
      <c r="F57" s="5">
        <v>0</v>
      </c>
      <c r="G57" s="5">
        <v>0</v>
      </c>
      <c r="H57" s="5">
        <v>0</v>
      </c>
      <c r="I57" s="5">
        <v>0</v>
      </c>
      <c r="J57" s="5">
        <v>1.54E-2</v>
      </c>
      <c r="K57" s="5">
        <v>4.4299999999999999E-2</v>
      </c>
      <c r="L57" s="5">
        <v>6.2700000000000006E-2</v>
      </c>
      <c r="M57" s="5">
        <v>0</v>
      </c>
      <c r="N57" s="5">
        <v>0</v>
      </c>
      <c r="O57" s="5">
        <v>1.5800000000000002E-2</v>
      </c>
      <c r="P57" s="5">
        <v>0.81340000000000001</v>
      </c>
      <c r="Q57" s="5">
        <v>4.3999999999999997E-2</v>
      </c>
      <c r="R57" s="5">
        <v>4.4000000000000003E-3</v>
      </c>
      <c r="S57" s="4">
        <v>0</v>
      </c>
      <c r="T57" s="4">
        <v>0</v>
      </c>
      <c r="U57" s="5">
        <v>0</v>
      </c>
      <c r="V57" s="5">
        <v>0</v>
      </c>
      <c r="W57" s="4">
        <v>0</v>
      </c>
      <c r="X57" s="4">
        <v>0</v>
      </c>
      <c r="Y57" s="5">
        <v>0</v>
      </c>
      <c r="Z57" s="4">
        <v>0</v>
      </c>
      <c r="AA57" s="5">
        <v>0</v>
      </c>
      <c r="AB57" s="5">
        <v>0</v>
      </c>
      <c r="AC57" s="4">
        <v>0</v>
      </c>
      <c r="AD57" s="5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f t="shared" si="1"/>
        <v>1</v>
      </c>
    </row>
    <row r="58" spans="1:37" x14ac:dyDescent="0.25">
      <c r="A58" s="4">
        <v>36</v>
      </c>
      <c r="B58" s="4" t="s">
        <v>31</v>
      </c>
      <c r="C58" s="4" t="s">
        <v>32</v>
      </c>
      <c r="D58" s="4" t="s">
        <v>32</v>
      </c>
      <c r="E58" s="4" t="s">
        <v>32</v>
      </c>
      <c r="F58" s="5">
        <v>2.5000000000000001E-3</v>
      </c>
      <c r="G58" s="5">
        <v>1.44E-2</v>
      </c>
      <c r="H58" s="5">
        <v>1.41E-2</v>
      </c>
      <c r="I58" s="5">
        <v>0.1991</v>
      </c>
      <c r="J58" s="5">
        <v>6.9099999999999995E-2</v>
      </c>
      <c r="K58" s="5">
        <v>0.1787</v>
      </c>
      <c r="L58" s="5">
        <v>6.9999999999999999E-4</v>
      </c>
      <c r="M58" s="5">
        <v>0</v>
      </c>
      <c r="N58" s="5">
        <v>0</v>
      </c>
      <c r="O58" s="5">
        <v>3.3300000000000003E-2</v>
      </c>
      <c r="P58" s="5">
        <v>0.25430000000000003</v>
      </c>
      <c r="Q58" s="5">
        <v>0.2044</v>
      </c>
      <c r="R58" s="5">
        <v>2.23E-2</v>
      </c>
      <c r="S58" s="4">
        <v>0</v>
      </c>
      <c r="T58" s="4">
        <v>0</v>
      </c>
      <c r="U58" s="5">
        <v>2.7000000000000001E-3</v>
      </c>
      <c r="V58" s="5">
        <v>0</v>
      </c>
      <c r="W58" s="4">
        <v>0</v>
      </c>
      <c r="X58" s="4">
        <v>0</v>
      </c>
      <c r="Y58" s="5">
        <v>1.8E-3</v>
      </c>
      <c r="Z58" s="4">
        <v>0</v>
      </c>
      <c r="AA58" s="5">
        <v>0</v>
      </c>
      <c r="AB58" s="5">
        <v>1E-3</v>
      </c>
      <c r="AC58" s="4">
        <v>0</v>
      </c>
      <c r="AD58" s="5">
        <v>1.4E-3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f t="shared" si="1"/>
        <v>0.99840000000000007</v>
      </c>
    </row>
    <row r="59" spans="1:37" x14ac:dyDescent="0.25">
      <c r="A59" s="4">
        <v>36</v>
      </c>
      <c r="B59" s="4" t="s">
        <v>31</v>
      </c>
      <c r="C59" s="4" t="s">
        <v>32</v>
      </c>
      <c r="D59" s="4" t="s">
        <v>32</v>
      </c>
      <c r="E59" s="4" t="s">
        <v>36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0.98</v>
      </c>
      <c r="Q59" s="5">
        <v>0</v>
      </c>
      <c r="R59" s="5">
        <v>0</v>
      </c>
      <c r="S59" s="4">
        <v>0</v>
      </c>
      <c r="T59" s="4">
        <v>0</v>
      </c>
      <c r="U59" s="5">
        <v>0</v>
      </c>
      <c r="V59" s="5">
        <v>0</v>
      </c>
      <c r="W59" s="4">
        <v>0</v>
      </c>
      <c r="X59" s="4">
        <v>0</v>
      </c>
      <c r="Y59" s="5">
        <v>0</v>
      </c>
      <c r="Z59" s="4">
        <v>0</v>
      </c>
      <c r="AA59" s="5">
        <v>0</v>
      </c>
      <c r="AB59" s="5">
        <v>0</v>
      </c>
      <c r="AC59" s="4">
        <v>0</v>
      </c>
      <c r="AD59" s="5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f t="shared" si="1"/>
        <v>0.98</v>
      </c>
    </row>
    <row r="60" spans="1:37" x14ac:dyDescent="0.25">
      <c r="A60" s="4">
        <v>37</v>
      </c>
      <c r="B60" s="4" t="s">
        <v>31</v>
      </c>
      <c r="C60" s="4" t="s">
        <v>32</v>
      </c>
      <c r="D60" s="4" t="s">
        <v>32</v>
      </c>
      <c r="E60" s="4" t="s">
        <v>32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0.13139999999999999</v>
      </c>
      <c r="L60" s="5">
        <v>0</v>
      </c>
      <c r="M60" s="5">
        <v>0</v>
      </c>
      <c r="N60" s="5">
        <v>0</v>
      </c>
      <c r="O60" s="5">
        <v>2.2599999999999999E-2</v>
      </c>
      <c r="P60" s="5">
        <v>0.34589999999999999</v>
      </c>
      <c r="Q60" s="5">
        <v>0.48270000000000002</v>
      </c>
      <c r="R60" s="5">
        <v>8.6999999999999994E-3</v>
      </c>
      <c r="S60" s="4">
        <v>0</v>
      </c>
      <c r="T60" s="4">
        <v>0</v>
      </c>
      <c r="U60" s="5">
        <v>5.7999999999999996E-3</v>
      </c>
      <c r="V60" s="5">
        <v>0</v>
      </c>
      <c r="W60" s="4">
        <v>0</v>
      </c>
      <c r="X60" s="4">
        <v>0</v>
      </c>
      <c r="Y60" s="5">
        <v>0</v>
      </c>
      <c r="Z60" s="4">
        <v>0</v>
      </c>
      <c r="AA60" s="5">
        <v>0</v>
      </c>
      <c r="AB60" s="5">
        <v>0</v>
      </c>
      <c r="AC60" s="4">
        <v>0</v>
      </c>
      <c r="AD60" s="5">
        <v>2.5999999999999999E-3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f t="shared" si="1"/>
        <v>0.9971000000000001</v>
      </c>
    </row>
    <row r="61" spans="1:37" x14ac:dyDescent="0.25">
      <c r="A61" s="4">
        <v>37</v>
      </c>
      <c r="B61" s="4" t="s">
        <v>31</v>
      </c>
      <c r="C61" s="4" t="s">
        <v>32</v>
      </c>
      <c r="D61" s="4" t="s">
        <v>32</v>
      </c>
      <c r="E61" s="4" t="s">
        <v>36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4">
        <v>0</v>
      </c>
      <c r="T61" s="4">
        <v>0</v>
      </c>
      <c r="U61" s="5">
        <v>0</v>
      </c>
      <c r="V61" s="5">
        <v>0</v>
      </c>
      <c r="W61" s="4">
        <v>0</v>
      </c>
      <c r="X61" s="4">
        <v>0</v>
      </c>
      <c r="Y61" s="5">
        <v>0</v>
      </c>
      <c r="Z61" s="4">
        <v>0</v>
      </c>
      <c r="AA61" s="5">
        <v>0</v>
      </c>
      <c r="AB61" s="5">
        <v>0</v>
      </c>
      <c r="AC61" s="4">
        <v>0</v>
      </c>
      <c r="AD61" s="5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f t="shared" si="1"/>
        <v>1</v>
      </c>
    </row>
    <row r="62" spans="1:37" x14ac:dyDescent="0.25">
      <c r="A62" s="4">
        <v>37</v>
      </c>
      <c r="B62" s="4" t="s">
        <v>33</v>
      </c>
      <c r="C62" s="4" t="s">
        <v>32</v>
      </c>
      <c r="D62" s="4" t="s">
        <v>32</v>
      </c>
      <c r="E62" s="4" t="s">
        <v>32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7.1900000000000006E-2</v>
      </c>
      <c r="L62" s="5">
        <v>0</v>
      </c>
      <c r="M62" s="5">
        <v>0</v>
      </c>
      <c r="N62" s="5">
        <v>0</v>
      </c>
      <c r="O62" s="5">
        <v>3.95E-2</v>
      </c>
      <c r="P62" s="5">
        <v>0.20799999999999999</v>
      </c>
      <c r="Q62" s="5">
        <v>0.66720000000000002</v>
      </c>
      <c r="R62" s="5">
        <v>3.8E-3</v>
      </c>
      <c r="S62" s="4">
        <v>0</v>
      </c>
      <c r="T62" s="4">
        <v>0</v>
      </c>
      <c r="U62" s="5">
        <v>2.8999999999999998E-3</v>
      </c>
      <c r="V62" s="5">
        <v>0</v>
      </c>
      <c r="W62" s="4">
        <v>0</v>
      </c>
      <c r="X62" s="4">
        <v>0</v>
      </c>
      <c r="Y62" s="5">
        <v>5.8999999999999999E-3</v>
      </c>
      <c r="Z62" s="4">
        <v>0</v>
      </c>
      <c r="AA62" s="5">
        <v>0</v>
      </c>
      <c r="AB62" s="5">
        <v>0</v>
      </c>
      <c r="AC62" s="4">
        <v>0</v>
      </c>
      <c r="AD62" s="5">
        <v>8.0000000000000004E-4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f t="shared" si="1"/>
        <v>0.99920000000000009</v>
      </c>
    </row>
    <row r="63" spans="1:37" x14ac:dyDescent="0.25">
      <c r="A63" s="4">
        <v>37</v>
      </c>
      <c r="B63" s="4" t="s">
        <v>33</v>
      </c>
      <c r="C63" s="4" t="s">
        <v>32</v>
      </c>
      <c r="D63" s="4" t="s">
        <v>32</v>
      </c>
      <c r="E63" s="4" t="s">
        <v>36</v>
      </c>
      <c r="F63" s="5">
        <v>0</v>
      </c>
      <c r="G63" s="5">
        <v>0</v>
      </c>
      <c r="H63" s="5">
        <v>0</v>
      </c>
      <c r="I63" s="5">
        <v>0</v>
      </c>
      <c r="J63" s="5">
        <v>1.8E-3</v>
      </c>
      <c r="K63" s="5">
        <v>6.3799999999999996E-2</v>
      </c>
      <c r="L63" s="5">
        <v>0</v>
      </c>
      <c r="M63" s="5">
        <v>0</v>
      </c>
      <c r="N63" s="5">
        <v>0</v>
      </c>
      <c r="O63" s="5">
        <v>3.2800000000000003E-2</v>
      </c>
      <c r="P63" s="5">
        <v>0.17150000000000001</v>
      </c>
      <c r="Q63" s="5">
        <v>0.72409999999999997</v>
      </c>
      <c r="R63" s="5">
        <v>4.1000000000000003E-3</v>
      </c>
      <c r="S63" s="4">
        <v>0</v>
      </c>
      <c r="T63" s="4">
        <v>0</v>
      </c>
      <c r="U63" s="5">
        <v>1.8E-3</v>
      </c>
      <c r="V63" s="5">
        <v>0</v>
      </c>
      <c r="W63" s="4">
        <v>0</v>
      </c>
      <c r="X63" s="4">
        <v>0</v>
      </c>
      <c r="Y63" s="5">
        <v>0</v>
      </c>
      <c r="Z63" s="4">
        <v>0</v>
      </c>
      <c r="AA63" s="5">
        <v>0</v>
      </c>
      <c r="AB63" s="5">
        <v>0</v>
      </c>
      <c r="AC63" s="4">
        <v>0</v>
      </c>
      <c r="AD63" s="5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f t="shared" si="1"/>
        <v>0.99990000000000001</v>
      </c>
    </row>
    <row r="64" spans="1:37" x14ac:dyDescent="0.25">
      <c r="A64" s="4">
        <v>37</v>
      </c>
      <c r="B64" s="4" t="s">
        <v>34</v>
      </c>
      <c r="C64" s="4" t="s">
        <v>32</v>
      </c>
      <c r="D64" s="4" t="s">
        <v>32</v>
      </c>
      <c r="E64" s="4" t="s">
        <v>32</v>
      </c>
      <c r="F64" s="5">
        <v>0</v>
      </c>
      <c r="G64" s="5">
        <v>0</v>
      </c>
      <c r="H64" s="5">
        <v>0</v>
      </c>
      <c r="I64" s="5">
        <v>0</v>
      </c>
      <c r="J64" s="5">
        <v>1.4E-3</v>
      </c>
      <c r="K64" s="5">
        <v>0.114</v>
      </c>
      <c r="L64" s="5">
        <v>1.1000000000000001E-3</v>
      </c>
      <c r="M64" s="5">
        <v>0</v>
      </c>
      <c r="N64" s="5">
        <v>0</v>
      </c>
      <c r="O64" s="5">
        <v>4.2799999999999998E-2</v>
      </c>
      <c r="P64" s="5">
        <v>0.25440000000000002</v>
      </c>
      <c r="Q64" s="5">
        <v>0.51529999999999998</v>
      </c>
      <c r="R64" s="5">
        <v>5.8700000000000002E-2</v>
      </c>
      <c r="S64" s="4">
        <v>0</v>
      </c>
      <c r="T64" s="4">
        <v>0</v>
      </c>
      <c r="U64" s="5">
        <v>4.4000000000000003E-3</v>
      </c>
      <c r="V64" s="5">
        <v>0</v>
      </c>
      <c r="W64" s="4">
        <v>0</v>
      </c>
      <c r="X64" s="4">
        <v>0</v>
      </c>
      <c r="Y64" s="5">
        <v>4.5999999999999999E-3</v>
      </c>
      <c r="Z64" s="4">
        <v>0</v>
      </c>
      <c r="AA64" s="5">
        <v>0</v>
      </c>
      <c r="AB64" s="5">
        <v>0</v>
      </c>
      <c r="AC64" s="4">
        <v>0</v>
      </c>
      <c r="AD64" s="5">
        <v>3.3E-3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f t="shared" si="1"/>
        <v>0.99670000000000003</v>
      </c>
    </row>
    <row r="65" spans="1:37" x14ac:dyDescent="0.25">
      <c r="A65" s="4">
        <v>37</v>
      </c>
      <c r="B65" s="4" t="s">
        <v>34</v>
      </c>
      <c r="C65" s="4" t="s">
        <v>32</v>
      </c>
      <c r="D65" s="4" t="s">
        <v>32</v>
      </c>
      <c r="E65" s="4" t="s">
        <v>36</v>
      </c>
      <c r="F65" s="5">
        <v>0</v>
      </c>
      <c r="G65" s="5">
        <v>0</v>
      </c>
      <c r="H65" s="5">
        <v>0</v>
      </c>
      <c r="I65" s="5">
        <v>0</v>
      </c>
      <c r="J65" s="5">
        <v>1.8E-3</v>
      </c>
      <c r="K65" s="5">
        <v>6.3799999999999996E-2</v>
      </c>
      <c r="L65" s="5">
        <v>0</v>
      </c>
      <c r="M65" s="5">
        <v>0</v>
      </c>
      <c r="N65" s="5">
        <v>0</v>
      </c>
      <c r="O65" s="5">
        <v>3.2800000000000003E-2</v>
      </c>
      <c r="P65" s="5">
        <v>0.17150000000000001</v>
      </c>
      <c r="Q65" s="5">
        <v>0.72409999999999997</v>
      </c>
      <c r="R65" s="5">
        <v>4.1000000000000003E-3</v>
      </c>
      <c r="S65" s="4">
        <v>0</v>
      </c>
      <c r="T65" s="4">
        <v>0</v>
      </c>
      <c r="U65" s="5">
        <v>1.8E-3</v>
      </c>
      <c r="V65" s="5">
        <v>0</v>
      </c>
      <c r="W65" s="4">
        <v>0</v>
      </c>
      <c r="X65" s="4">
        <v>0</v>
      </c>
      <c r="Y65" s="5">
        <v>0</v>
      </c>
      <c r="Z65" s="4">
        <v>0</v>
      </c>
      <c r="AA65" s="5">
        <v>0</v>
      </c>
      <c r="AB65" s="5">
        <v>0</v>
      </c>
      <c r="AC65" s="4">
        <v>0</v>
      </c>
      <c r="AD65" s="5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f t="shared" si="1"/>
        <v>0.99990000000000001</v>
      </c>
    </row>
    <row r="66" spans="1:37" x14ac:dyDescent="0.25">
      <c r="A66" s="4">
        <v>38</v>
      </c>
      <c r="B66" s="4" t="s">
        <v>31</v>
      </c>
      <c r="C66" s="4" t="s">
        <v>32</v>
      </c>
      <c r="D66" s="4" t="s">
        <v>32</v>
      </c>
      <c r="E66" s="4" t="s">
        <v>32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0.11550000000000001</v>
      </c>
      <c r="L66" s="5">
        <v>0</v>
      </c>
      <c r="M66" s="5">
        <v>0</v>
      </c>
      <c r="N66" s="5">
        <v>0</v>
      </c>
      <c r="O66" s="5">
        <v>4.07E-2</v>
      </c>
      <c r="P66" s="5">
        <v>0.24010000000000001</v>
      </c>
      <c r="Q66" s="5">
        <v>0.54</v>
      </c>
      <c r="R66" s="5">
        <v>5.45E-2</v>
      </c>
      <c r="S66" s="4">
        <v>0</v>
      </c>
      <c r="T66" s="4">
        <v>0</v>
      </c>
      <c r="U66" s="5">
        <v>0</v>
      </c>
      <c r="V66" s="5">
        <v>0</v>
      </c>
      <c r="W66" s="4">
        <v>0</v>
      </c>
      <c r="X66" s="4">
        <v>0</v>
      </c>
      <c r="Y66" s="5">
        <v>9.1999999999999998E-3</v>
      </c>
      <c r="Z66" s="4">
        <v>0</v>
      </c>
      <c r="AA66" s="5">
        <v>0</v>
      </c>
      <c r="AB66" s="5">
        <v>0</v>
      </c>
      <c r="AC66" s="4">
        <v>0</v>
      </c>
      <c r="AD66" s="5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f t="shared" si="1"/>
        <v>1</v>
      </c>
    </row>
    <row r="67" spans="1:37" x14ac:dyDescent="0.25">
      <c r="A67" s="4">
        <v>38</v>
      </c>
      <c r="B67" s="4" t="s">
        <v>31</v>
      </c>
      <c r="C67" s="4" t="s">
        <v>32</v>
      </c>
      <c r="D67" s="4" t="s">
        <v>32</v>
      </c>
      <c r="E67" s="4" t="s">
        <v>36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7.6300000000000007E-2</v>
      </c>
      <c r="L67" s="5">
        <v>0</v>
      </c>
      <c r="M67" s="5">
        <v>0</v>
      </c>
      <c r="N67" s="5">
        <v>0</v>
      </c>
      <c r="O67" s="5">
        <v>4.07E-2</v>
      </c>
      <c r="P67" s="5">
        <v>0.17030000000000001</v>
      </c>
      <c r="Q67" s="5">
        <v>0.7127</v>
      </c>
      <c r="R67" s="5">
        <v>0</v>
      </c>
      <c r="S67" s="4">
        <v>0</v>
      </c>
      <c r="T67" s="4">
        <v>0</v>
      </c>
      <c r="U67" s="5">
        <v>0</v>
      </c>
      <c r="V67" s="5">
        <v>0</v>
      </c>
      <c r="W67" s="4">
        <v>0</v>
      </c>
      <c r="X67" s="4">
        <v>0</v>
      </c>
      <c r="Y67" s="5">
        <v>0</v>
      </c>
      <c r="Z67" s="4">
        <v>0</v>
      </c>
      <c r="AA67" s="5">
        <v>0</v>
      </c>
      <c r="AB67" s="5">
        <v>0</v>
      </c>
      <c r="AC67" s="4">
        <v>0</v>
      </c>
      <c r="AD67" s="5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f t="shared" ref="AK67:AK98" si="2">SUM(F67:AC67)</f>
        <v>1</v>
      </c>
    </row>
    <row r="68" spans="1:37" x14ac:dyDescent="0.25">
      <c r="A68" s="4">
        <v>39</v>
      </c>
      <c r="B68" s="4" t="s">
        <v>31</v>
      </c>
      <c r="C68" s="4" t="s">
        <v>32</v>
      </c>
      <c r="D68" s="4" t="s">
        <v>32</v>
      </c>
      <c r="E68" s="4" t="s">
        <v>32</v>
      </c>
      <c r="F68" s="5">
        <v>0</v>
      </c>
      <c r="G68" s="5">
        <v>4.7999999999999996E-3</v>
      </c>
      <c r="H68" s="5">
        <v>4.4000000000000003E-3</v>
      </c>
      <c r="I68" s="5">
        <v>5.9700000000000003E-2</v>
      </c>
      <c r="J68" s="5">
        <v>2.12E-2</v>
      </c>
      <c r="K68" s="5">
        <v>0.1104</v>
      </c>
      <c r="L68" s="5">
        <v>0</v>
      </c>
      <c r="M68" s="5">
        <v>0</v>
      </c>
      <c r="N68" s="5">
        <v>0</v>
      </c>
      <c r="O68" s="5">
        <v>3.5799999999999998E-2</v>
      </c>
      <c r="P68" s="5">
        <v>0.2797</v>
      </c>
      <c r="Q68" s="5">
        <v>0.41249999999999998</v>
      </c>
      <c r="R68" s="5">
        <v>4.4299999999999999E-2</v>
      </c>
      <c r="S68" s="4">
        <v>0</v>
      </c>
      <c r="T68" s="4">
        <v>0</v>
      </c>
      <c r="U68" s="5">
        <v>7.3000000000000001E-3</v>
      </c>
      <c r="V68" s="5">
        <v>0</v>
      </c>
      <c r="W68" s="4">
        <v>0</v>
      </c>
      <c r="X68" s="4">
        <v>0</v>
      </c>
      <c r="Y68" s="5">
        <v>1.49E-2</v>
      </c>
      <c r="Z68" s="4">
        <v>0</v>
      </c>
      <c r="AA68" s="5">
        <v>0</v>
      </c>
      <c r="AB68" s="5">
        <v>0</v>
      </c>
      <c r="AC68" s="4">
        <v>0</v>
      </c>
      <c r="AD68" s="5">
        <v>5.1000000000000004E-3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f t="shared" si="2"/>
        <v>0.995</v>
      </c>
    </row>
    <row r="69" spans="1:37" x14ac:dyDescent="0.25">
      <c r="A69" s="4">
        <v>39</v>
      </c>
      <c r="B69" s="4" t="s">
        <v>31</v>
      </c>
      <c r="C69" s="4" t="s">
        <v>32</v>
      </c>
      <c r="D69" s="4" t="s">
        <v>32</v>
      </c>
      <c r="E69" s="4" t="s">
        <v>36</v>
      </c>
      <c r="F69" s="5">
        <v>0</v>
      </c>
      <c r="G69" s="5">
        <v>0</v>
      </c>
      <c r="H69" s="5">
        <v>0</v>
      </c>
      <c r="I69" s="5">
        <v>1.1299999999999999E-2</v>
      </c>
      <c r="J69" s="5">
        <v>8.8999999999999999E-3</v>
      </c>
      <c r="K69" s="5">
        <v>5.3600000000000002E-2</v>
      </c>
      <c r="L69" s="5">
        <v>1.1999999999999999E-3</v>
      </c>
      <c r="M69" s="5">
        <v>0</v>
      </c>
      <c r="N69" s="5">
        <v>0</v>
      </c>
      <c r="O69" s="5">
        <v>1.4200000000000001E-2</v>
      </c>
      <c r="P69" s="5">
        <v>0.7802</v>
      </c>
      <c r="Q69" s="5">
        <v>0.1197</v>
      </c>
      <c r="R69" s="5">
        <v>5.0000000000000001E-3</v>
      </c>
      <c r="S69" s="4">
        <v>0</v>
      </c>
      <c r="T69" s="4">
        <v>0</v>
      </c>
      <c r="U69" s="5">
        <v>5.8999999999999999E-3</v>
      </c>
      <c r="V69" s="5">
        <v>0</v>
      </c>
      <c r="W69" s="4">
        <v>0</v>
      </c>
      <c r="X69" s="4">
        <v>0</v>
      </c>
      <c r="Y69" s="5">
        <v>0</v>
      </c>
      <c r="Z69" s="4">
        <v>0</v>
      </c>
      <c r="AA69" s="5">
        <v>0</v>
      </c>
      <c r="AB69" s="5">
        <v>0</v>
      </c>
      <c r="AC69" s="4">
        <v>0</v>
      </c>
      <c r="AD69" s="5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f t="shared" si="2"/>
        <v>1</v>
      </c>
    </row>
    <row r="70" spans="1:37" x14ac:dyDescent="0.25">
      <c r="A70" s="4">
        <v>39</v>
      </c>
      <c r="B70" s="4" t="s">
        <v>33</v>
      </c>
      <c r="C70" s="4" t="s">
        <v>32</v>
      </c>
      <c r="D70" s="4" t="s">
        <v>32</v>
      </c>
      <c r="E70" s="4" t="s">
        <v>32</v>
      </c>
      <c r="F70" s="5">
        <v>0</v>
      </c>
      <c r="G70" s="5">
        <v>0</v>
      </c>
      <c r="H70" s="5">
        <v>0</v>
      </c>
      <c r="I70" s="5">
        <v>1.61E-2</v>
      </c>
      <c r="J70" s="5">
        <v>6.7000000000000002E-3</v>
      </c>
      <c r="K70" s="5">
        <v>0.14660000000000001</v>
      </c>
      <c r="L70" s="5">
        <v>0</v>
      </c>
      <c r="M70" s="5">
        <v>0</v>
      </c>
      <c r="N70" s="5">
        <v>0</v>
      </c>
      <c r="O70" s="5">
        <v>2.92E-2</v>
      </c>
      <c r="P70" s="5">
        <v>0.39119999999999999</v>
      </c>
      <c r="Q70" s="5">
        <v>0.37930000000000003</v>
      </c>
      <c r="R70" s="5">
        <v>1.23E-2</v>
      </c>
      <c r="S70" s="4">
        <v>0</v>
      </c>
      <c r="T70" s="4">
        <v>0</v>
      </c>
      <c r="U70" s="5">
        <v>1.06E-2</v>
      </c>
      <c r="V70" s="5">
        <v>0</v>
      </c>
      <c r="W70" s="4">
        <v>0</v>
      </c>
      <c r="X70" s="4">
        <v>0</v>
      </c>
      <c r="Y70" s="5">
        <v>0</v>
      </c>
      <c r="Z70" s="4">
        <v>0</v>
      </c>
      <c r="AA70" s="5">
        <v>0</v>
      </c>
      <c r="AB70" s="5">
        <v>0</v>
      </c>
      <c r="AC70" s="4">
        <v>0</v>
      </c>
      <c r="AD70" s="5">
        <v>8.0000000000000002E-3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f t="shared" si="2"/>
        <v>0.9920000000000001</v>
      </c>
    </row>
    <row r="71" spans="1:37" x14ac:dyDescent="0.25">
      <c r="A71" s="4">
        <v>39</v>
      </c>
      <c r="B71" s="4" t="s">
        <v>33</v>
      </c>
      <c r="C71" s="4" t="s">
        <v>32</v>
      </c>
      <c r="D71" s="4" t="s">
        <v>32</v>
      </c>
      <c r="E71" s="4" t="s">
        <v>36</v>
      </c>
      <c r="F71" s="5">
        <v>0</v>
      </c>
      <c r="G71" s="5">
        <v>0</v>
      </c>
      <c r="H71" s="5">
        <v>0</v>
      </c>
      <c r="I71" s="5">
        <v>1.1299999999999999E-2</v>
      </c>
      <c r="J71" s="5">
        <v>8.8999999999999999E-3</v>
      </c>
      <c r="K71" s="5">
        <v>5.3600000000000002E-2</v>
      </c>
      <c r="L71" s="5">
        <v>1.1999999999999999E-3</v>
      </c>
      <c r="M71" s="5">
        <v>0</v>
      </c>
      <c r="N71" s="5">
        <v>0</v>
      </c>
      <c r="O71" s="5">
        <v>1.4200000000000001E-2</v>
      </c>
      <c r="P71" s="5">
        <v>0.7802</v>
      </c>
      <c r="Q71" s="5">
        <v>0.1197</v>
      </c>
      <c r="R71" s="5">
        <v>5.0000000000000001E-3</v>
      </c>
      <c r="S71" s="4">
        <v>0</v>
      </c>
      <c r="T71" s="4">
        <v>0</v>
      </c>
      <c r="U71" s="5">
        <v>5.8999999999999999E-3</v>
      </c>
      <c r="V71" s="5">
        <v>0</v>
      </c>
      <c r="W71" s="4">
        <v>0</v>
      </c>
      <c r="X71" s="4">
        <v>0</v>
      </c>
      <c r="Y71" s="5">
        <v>0</v>
      </c>
      <c r="Z71" s="4">
        <v>0</v>
      </c>
      <c r="AA71" s="5">
        <v>0</v>
      </c>
      <c r="AB71" s="5">
        <v>0</v>
      </c>
      <c r="AC71" s="4">
        <v>0</v>
      </c>
      <c r="AD71" s="5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f t="shared" si="2"/>
        <v>1</v>
      </c>
    </row>
    <row r="72" spans="1:37" x14ac:dyDescent="0.25">
      <c r="A72" s="4">
        <v>40</v>
      </c>
      <c r="B72" s="4" t="s">
        <v>31</v>
      </c>
      <c r="C72" s="4" t="s">
        <v>32</v>
      </c>
      <c r="D72" s="4" t="s">
        <v>32</v>
      </c>
      <c r="E72" s="4" t="s">
        <v>32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7.1999999999999995E-2</v>
      </c>
      <c r="L72" s="5">
        <v>0</v>
      </c>
      <c r="M72" s="5">
        <v>0</v>
      </c>
      <c r="N72" s="5">
        <v>0</v>
      </c>
      <c r="O72" s="5">
        <v>0.03</v>
      </c>
      <c r="P72" s="5">
        <v>0.23</v>
      </c>
      <c r="Q72" s="5">
        <v>0.66</v>
      </c>
      <c r="R72" s="5">
        <v>5.0000000000000001E-3</v>
      </c>
      <c r="S72" s="4">
        <v>0</v>
      </c>
      <c r="T72" s="4">
        <v>0</v>
      </c>
      <c r="U72" s="5">
        <v>0</v>
      </c>
      <c r="V72" s="5">
        <v>3.0000000000000001E-3</v>
      </c>
      <c r="W72" s="4">
        <v>0</v>
      </c>
      <c r="X72" s="4">
        <v>0</v>
      </c>
      <c r="Y72" s="5">
        <v>0</v>
      </c>
      <c r="Z72" s="4">
        <v>0</v>
      </c>
      <c r="AA72" s="5">
        <v>0</v>
      </c>
      <c r="AB72" s="5">
        <v>0</v>
      </c>
      <c r="AC72" s="4">
        <v>0</v>
      </c>
      <c r="AD72" s="5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f t="shared" si="2"/>
        <v>1</v>
      </c>
    </row>
    <row r="73" spans="1:37" x14ac:dyDescent="0.25">
      <c r="A73" s="4">
        <v>40</v>
      </c>
      <c r="B73" s="4" t="s">
        <v>31</v>
      </c>
      <c r="C73" s="4" t="s">
        <v>32</v>
      </c>
      <c r="D73" s="4" t="s">
        <v>32</v>
      </c>
      <c r="E73" s="4" t="s">
        <v>36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4.0500000000000001E-2</v>
      </c>
      <c r="L73" s="5">
        <v>5.8500000000000003E-2</v>
      </c>
      <c r="M73" s="5">
        <v>0</v>
      </c>
      <c r="N73" s="5">
        <v>0</v>
      </c>
      <c r="O73" s="5">
        <v>0</v>
      </c>
      <c r="P73" s="5">
        <v>0.83130000000000004</v>
      </c>
      <c r="Q73" s="5">
        <v>5.0500000000000003E-2</v>
      </c>
      <c r="R73" s="5">
        <v>0</v>
      </c>
      <c r="S73" s="4">
        <v>0</v>
      </c>
      <c r="T73" s="4">
        <v>0</v>
      </c>
      <c r="U73" s="5">
        <v>0</v>
      </c>
      <c r="V73" s="5">
        <v>0</v>
      </c>
      <c r="W73" s="4">
        <v>0</v>
      </c>
      <c r="X73" s="4">
        <v>0</v>
      </c>
      <c r="Y73" s="5">
        <v>0</v>
      </c>
      <c r="Z73" s="4">
        <v>0</v>
      </c>
      <c r="AA73" s="5">
        <v>0</v>
      </c>
      <c r="AB73" s="5">
        <v>0</v>
      </c>
      <c r="AC73" s="4">
        <v>0</v>
      </c>
      <c r="AD73" s="5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f t="shared" si="2"/>
        <v>0.98080000000000001</v>
      </c>
    </row>
    <row r="74" spans="1:37" x14ac:dyDescent="0.25">
      <c r="A74" s="4">
        <v>41</v>
      </c>
      <c r="B74" s="4" t="s">
        <v>31</v>
      </c>
      <c r="C74" s="4" t="s">
        <v>32</v>
      </c>
      <c r="D74" s="4" t="s">
        <v>32</v>
      </c>
      <c r="E74" s="4" t="s">
        <v>32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0.1143</v>
      </c>
      <c r="L74" s="5">
        <v>0</v>
      </c>
      <c r="M74" s="5">
        <v>0</v>
      </c>
      <c r="N74" s="5">
        <v>0</v>
      </c>
      <c r="O74" s="5">
        <v>3.9E-2</v>
      </c>
      <c r="P74" s="5">
        <v>0.26240000000000002</v>
      </c>
      <c r="Q74" s="5">
        <v>0.5181</v>
      </c>
      <c r="R74" s="5">
        <v>6.4000000000000001E-2</v>
      </c>
      <c r="S74" s="4">
        <v>0</v>
      </c>
      <c r="T74" s="4">
        <v>0</v>
      </c>
      <c r="U74" s="5">
        <v>0</v>
      </c>
      <c r="V74" s="5">
        <v>2.2000000000000001E-3</v>
      </c>
      <c r="W74" s="4">
        <v>0</v>
      </c>
      <c r="X74" s="4">
        <v>0</v>
      </c>
      <c r="Y74" s="5">
        <v>0</v>
      </c>
      <c r="Z74" s="4">
        <v>0</v>
      </c>
      <c r="AA74" s="5">
        <v>0</v>
      </c>
      <c r="AB74" s="5">
        <v>0</v>
      </c>
      <c r="AC74" s="4">
        <v>0</v>
      </c>
      <c r="AD74" s="5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f t="shared" si="2"/>
        <v>1</v>
      </c>
    </row>
    <row r="75" spans="1:37" x14ac:dyDescent="0.25">
      <c r="A75" s="4">
        <v>41</v>
      </c>
      <c r="B75" s="4" t="s">
        <v>31</v>
      </c>
      <c r="C75" s="4" t="s">
        <v>32</v>
      </c>
      <c r="D75" s="4" t="s">
        <v>32</v>
      </c>
      <c r="E75" s="4" t="s">
        <v>36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4.0500000000000001E-2</v>
      </c>
      <c r="L75" s="5">
        <v>5.8500000000000003E-2</v>
      </c>
      <c r="M75" s="5">
        <v>0</v>
      </c>
      <c r="N75" s="5">
        <v>0</v>
      </c>
      <c r="O75" s="5">
        <v>0</v>
      </c>
      <c r="P75" s="5">
        <v>0.83130000000000004</v>
      </c>
      <c r="Q75" s="5">
        <v>5.0500000000000003E-2</v>
      </c>
      <c r="R75" s="5">
        <v>0</v>
      </c>
      <c r="S75" s="4">
        <v>0</v>
      </c>
      <c r="T75" s="4">
        <v>0</v>
      </c>
      <c r="U75" s="5">
        <v>0</v>
      </c>
      <c r="V75" s="5">
        <v>0</v>
      </c>
      <c r="W75" s="4">
        <v>0</v>
      </c>
      <c r="X75" s="4">
        <v>0</v>
      </c>
      <c r="Y75" s="5">
        <v>0</v>
      </c>
      <c r="Z75" s="4">
        <v>0</v>
      </c>
      <c r="AA75" s="5">
        <v>0</v>
      </c>
      <c r="AB75" s="5">
        <v>0</v>
      </c>
      <c r="AC75" s="4">
        <v>0</v>
      </c>
      <c r="AD75" s="5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f t="shared" si="2"/>
        <v>0.98080000000000001</v>
      </c>
    </row>
    <row r="76" spans="1:37" x14ac:dyDescent="0.25">
      <c r="A76" s="4">
        <v>42</v>
      </c>
      <c r="B76" s="4" t="s">
        <v>31</v>
      </c>
      <c r="C76" s="4" t="s">
        <v>32</v>
      </c>
      <c r="D76" s="4" t="s">
        <v>32</v>
      </c>
      <c r="E76" s="4" t="s">
        <v>32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0.15859999999999999</v>
      </c>
      <c r="L76" s="5">
        <v>0</v>
      </c>
      <c r="M76" s="5">
        <v>0</v>
      </c>
      <c r="N76" s="5">
        <v>0</v>
      </c>
      <c r="O76" s="5">
        <v>0.1134</v>
      </c>
      <c r="P76" s="5">
        <v>0.30680000000000002</v>
      </c>
      <c r="Q76" s="5">
        <v>0.42120000000000002</v>
      </c>
      <c r="R76" s="5">
        <v>0</v>
      </c>
      <c r="S76" s="4">
        <v>0</v>
      </c>
      <c r="T76" s="4">
        <v>0</v>
      </c>
      <c r="U76" s="5">
        <v>0</v>
      </c>
      <c r="V76" s="5">
        <v>0</v>
      </c>
      <c r="W76" s="4">
        <v>0</v>
      </c>
      <c r="X76" s="4">
        <v>0</v>
      </c>
      <c r="Y76" s="5">
        <v>0</v>
      </c>
      <c r="Z76" s="4">
        <v>0</v>
      </c>
      <c r="AA76" s="5">
        <v>0</v>
      </c>
      <c r="AB76" s="5">
        <v>0</v>
      </c>
      <c r="AC76" s="4">
        <v>0</v>
      </c>
      <c r="AD76" s="5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f t="shared" si="2"/>
        <v>1</v>
      </c>
    </row>
    <row r="77" spans="1:37" x14ac:dyDescent="0.25">
      <c r="A77" s="4">
        <v>42</v>
      </c>
      <c r="B77" s="4" t="s">
        <v>31</v>
      </c>
      <c r="C77" s="4" t="s">
        <v>32</v>
      </c>
      <c r="D77" s="4" t="s">
        <v>32</v>
      </c>
      <c r="E77" s="4" t="s">
        <v>36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7.6300000000000007E-2</v>
      </c>
      <c r="L77" s="5">
        <v>0</v>
      </c>
      <c r="M77" s="5">
        <v>0</v>
      </c>
      <c r="N77" s="5">
        <v>0</v>
      </c>
      <c r="O77" s="5">
        <v>4.07E-2</v>
      </c>
      <c r="P77" s="5">
        <v>0.17030000000000001</v>
      </c>
      <c r="Q77" s="5">
        <v>0.7127</v>
      </c>
      <c r="R77" s="5">
        <v>0</v>
      </c>
      <c r="S77" s="4">
        <v>0</v>
      </c>
      <c r="T77" s="4">
        <v>0</v>
      </c>
      <c r="U77" s="5">
        <v>0</v>
      </c>
      <c r="V77" s="5">
        <v>0</v>
      </c>
      <c r="W77" s="4">
        <v>0</v>
      </c>
      <c r="X77" s="4">
        <v>0</v>
      </c>
      <c r="Y77" s="5">
        <v>0</v>
      </c>
      <c r="Z77" s="4">
        <v>0</v>
      </c>
      <c r="AA77" s="5">
        <v>0</v>
      </c>
      <c r="AB77" s="5">
        <v>0</v>
      </c>
      <c r="AC77" s="4">
        <v>0</v>
      </c>
      <c r="AD77" s="5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f t="shared" si="2"/>
        <v>1</v>
      </c>
    </row>
    <row r="78" spans="1:37" x14ac:dyDescent="0.25">
      <c r="A78" s="4">
        <v>42</v>
      </c>
      <c r="B78" s="4" t="s">
        <v>33</v>
      </c>
      <c r="C78" s="4" t="s">
        <v>32</v>
      </c>
      <c r="D78" s="4" t="s">
        <v>32</v>
      </c>
      <c r="E78" s="4" t="s">
        <v>32</v>
      </c>
      <c r="F78" s="5">
        <v>0</v>
      </c>
      <c r="G78" s="5">
        <v>0</v>
      </c>
      <c r="H78" s="5">
        <v>0</v>
      </c>
      <c r="I78" s="5">
        <v>0</v>
      </c>
      <c r="J78" s="5">
        <v>9.7999999999999997E-3</v>
      </c>
      <c r="K78" s="5">
        <v>9.3799999999999994E-2</v>
      </c>
      <c r="L78" s="5">
        <v>0.1928</v>
      </c>
      <c r="M78" s="5">
        <v>0</v>
      </c>
      <c r="N78" s="5">
        <v>0</v>
      </c>
      <c r="O78" s="5">
        <v>3.4000000000000002E-2</v>
      </c>
      <c r="P78" s="5">
        <v>0.59760000000000002</v>
      </c>
      <c r="Q78" s="5">
        <v>2.0299999999999999E-2</v>
      </c>
      <c r="R78" s="5">
        <v>1.4E-3</v>
      </c>
      <c r="S78" s="4">
        <v>0</v>
      </c>
      <c r="T78" s="4">
        <v>0</v>
      </c>
      <c r="U78" s="5">
        <v>2.5600000000000001E-2</v>
      </c>
      <c r="V78" s="5">
        <v>0</v>
      </c>
      <c r="W78" s="4">
        <v>0</v>
      </c>
      <c r="X78" s="4">
        <v>0</v>
      </c>
      <c r="Y78" s="5">
        <v>0</v>
      </c>
      <c r="Z78" s="4">
        <v>0</v>
      </c>
      <c r="AA78" s="5">
        <v>0</v>
      </c>
      <c r="AB78" s="5">
        <v>0</v>
      </c>
      <c r="AC78" s="4">
        <v>0</v>
      </c>
      <c r="AD78" s="5">
        <v>2.4799999999999999E-2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f t="shared" si="2"/>
        <v>0.97529999999999994</v>
      </c>
    </row>
    <row r="79" spans="1:37" x14ac:dyDescent="0.25">
      <c r="A79" s="4">
        <v>42</v>
      </c>
      <c r="B79" s="4" t="s">
        <v>33</v>
      </c>
      <c r="C79" s="4" t="s">
        <v>32</v>
      </c>
      <c r="D79" s="4" t="s">
        <v>32</v>
      </c>
      <c r="E79" s="4" t="s">
        <v>36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7.6300000000000007E-2</v>
      </c>
      <c r="L79" s="5">
        <v>0</v>
      </c>
      <c r="M79" s="5">
        <v>0</v>
      </c>
      <c r="N79" s="5">
        <v>0</v>
      </c>
      <c r="O79" s="5">
        <v>4.07E-2</v>
      </c>
      <c r="P79" s="5">
        <v>0.17030000000000001</v>
      </c>
      <c r="Q79" s="5">
        <v>0.7127</v>
      </c>
      <c r="R79" s="5">
        <v>0</v>
      </c>
      <c r="S79" s="4">
        <v>0</v>
      </c>
      <c r="T79" s="4">
        <v>0</v>
      </c>
      <c r="U79" s="5">
        <v>0</v>
      </c>
      <c r="V79" s="5">
        <v>0</v>
      </c>
      <c r="W79" s="4">
        <v>0</v>
      </c>
      <c r="X79" s="4">
        <v>0</v>
      </c>
      <c r="Y79" s="5">
        <v>0</v>
      </c>
      <c r="Z79" s="4">
        <v>0</v>
      </c>
      <c r="AA79" s="5">
        <v>0</v>
      </c>
      <c r="AB79" s="5">
        <v>0</v>
      </c>
      <c r="AC79" s="4">
        <v>0</v>
      </c>
      <c r="AD79" s="5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f t="shared" si="2"/>
        <v>1</v>
      </c>
    </row>
    <row r="80" spans="1:37" x14ac:dyDescent="0.25">
      <c r="A80" s="4">
        <v>43</v>
      </c>
      <c r="B80" s="4" t="s">
        <v>31</v>
      </c>
      <c r="C80" s="4" t="s">
        <v>32</v>
      </c>
      <c r="D80" s="4" t="s">
        <v>32</v>
      </c>
      <c r="E80" s="4" t="s">
        <v>32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0.1004</v>
      </c>
      <c r="L80" s="5">
        <v>0</v>
      </c>
      <c r="M80" s="5">
        <v>0</v>
      </c>
      <c r="N80" s="5">
        <v>0</v>
      </c>
      <c r="O80" s="5">
        <v>2.3400000000000001E-2</v>
      </c>
      <c r="P80" s="5">
        <v>0.2782</v>
      </c>
      <c r="Q80" s="5">
        <v>0.58289999999999997</v>
      </c>
      <c r="R80" s="5">
        <v>8.0999999999999996E-3</v>
      </c>
      <c r="S80" s="4">
        <v>0</v>
      </c>
      <c r="T80" s="4">
        <v>0</v>
      </c>
      <c r="U80" s="5">
        <v>4.7000000000000002E-3</v>
      </c>
      <c r="V80" s="5">
        <v>0</v>
      </c>
      <c r="W80" s="4">
        <v>0</v>
      </c>
      <c r="X80" s="4">
        <v>0</v>
      </c>
      <c r="Y80" s="5">
        <v>0</v>
      </c>
      <c r="Z80" s="4">
        <v>0</v>
      </c>
      <c r="AA80" s="5">
        <v>0</v>
      </c>
      <c r="AB80" s="5">
        <v>0</v>
      </c>
      <c r="AC80" s="4">
        <v>0</v>
      </c>
      <c r="AD80" s="5">
        <v>2.3E-3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f t="shared" si="2"/>
        <v>0.99770000000000003</v>
      </c>
    </row>
    <row r="81" spans="1:37" x14ac:dyDescent="0.25">
      <c r="A81" s="4">
        <v>43</v>
      </c>
      <c r="B81" s="4" t="s">
        <v>31</v>
      </c>
      <c r="C81" s="4" t="s">
        <v>32</v>
      </c>
      <c r="D81" s="4" t="s">
        <v>32</v>
      </c>
      <c r="E81" s="4" t="s">
        <v>36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4.0500000000000001E-2</v>
      </c>
      <c r="L81" s="5">
        <v>5.8500000000000003E-2</v>
      </c>
      <c r="M81" s="5">
        <v>0</v>
      </c>
      <c r="N81" s="5">
        <v>0</v>
      </c>
      <c r="O81" s="5">
        <v>0</v>
      </c>
      <c r="P81" s="5">
        <v>0.83130000000000004</v>
      </c>
      <c r="Q81" s="5">
        <v>5.0500000000000003E-2</v>
      </c>
      <c r="R81" s="5">
        <v>0</v>
      </c>
      <c r="S81" s="4">
        <v>0</v>
      </c>
      <c r="T81" s="4">
        <v>0</v>
      </c>
      <c r="U81" s="5">
        <v>0</v>
      </c>
      <c r="V81" s="5">
        <v>0</v>
      </c>
      <c r="W81" s="4">
        <v>0</v>
      </c>
      <c r="X81" s="4">
        <v>0</v>
      </c>
      <c r="Y81" s="5">
        <v>0</v>
      </c>
      <c r="Z81" s="4">
        <v>0</v>
      </c>
      <c r="AA81" s="5">
        <v>0</v>
      </c>
      <c r="AB81" s="5">
        <v>0</v>
      </c>
      <c r="AC81" s="4">
        <v>0</v>
      </c>
      <c r="AD81" s="5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f t="shared" si="2"/>
        <v>0.98080000000000001</v>
      </c>
    </row>
    <row r="82" spans="1:37" x14ac:dyDescent="0.25">
      <c r="A82" s="4">
        <v>44</v>
      </c>
      <c r="B82" s="4" t="s">
        <v>31</v>
      </c>
      <c r="C82" s="4" t="s">
        <v>32</v>
      </c>
      <c r="D82" s="4" t="s">
        <v>32</v>
      </c>
      <c r="E82" s="4" t="s">
        <v>32</v>
      </c>
      <c r="F82" s="5">
        <v>0</v>
      </c>
      <c r="G82" s="5">
        <v>0</v>
      </c>
      <c r="H82" s="5">
        <v>0</v>
      </c>
      <c r="I82" s="5">
        <v>0</v>
      </c>
      <c r="J82" s="5">
        <v>5.0000000000000001E-4</v>
      </c>
      <c r="K82" s="5">
        <v>6.6199999999999995E-2</v>
      </c>
      <c r="L82" s="5">
        <v>1E-3</v>
      </c>
      <c r="M82" s="5">
        <v>5.0000000000000001E-4</v>
      </c>
      <c r="N82" s="5">
        <v>5.0000000000000001E-4</v>
      </c>
      <c r="O82" s="5">
        <v>3.9100000000000003E-2</v>
      </c>
      <c r="P82" s="5">
        <v>0.14749999999999999</v>
      </c>
      <c r="Q82" s="5">
        <v>0.73760000000000003</v>
      </c>
      <c r="R82" s="5">
        <v>3.0000000000000001E-3</v>
      </c>
      <c r="S82" s="4">
        <v>0</v>
      </c>
      <c r="T82" s="4">
        <v>0</v>
      </c>
      <c r="U82" s="5">
        <v>2E-3</v>
      </c>
      <c r="V82" s="5">
        <v>0</v>
      </c>
      <c r="W82" s="4">
        <v>0</v>
      </c>
      <c r="X82" s="4">
        <v>0</v>
      </c>
      <c r="Y82" s="5">
        <v>5.0000000000000001E-4</v>
      </c>
      <c r="Z82" s="4">
        <v>0</v>
      </c>
      <c r="AA82" s="5">
        <v>0</v>
      </c>
      <c r="AB82" s="5">
        <v>5.0000000000000001E-4</v>
      </c>
      <c r="AC82" s="4">
        <v>0</v>
      </c>
      <c r="AD82" s="5">
        <v>1E-3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f t="shared" si="2"/>
        <v>0.9988999999999999</v>
      </c>
    </row>
    <row r="83" spans="1:37" x14ac:dyDescent="0.25">
      <c r="A83" s="4">
        <v>44</v>
      </c>
      <c r="B83" s="4" t="s">
        <v>31</v>
      </c>
      <c r="C83" s="4" t="s">
        <v>32</v>
      </c>
      <c r="D83" s="4" t="s">
        <v>32</v>
      </c>
      <c r="E83" s="4" t="s">
        <v>36</v>
      </c>
      <c r="F83" s="5">
        <v>1E-3</v>
      </c>
      <c r="G83" s="5">
        <v>0</v>
      </c>
      <c r="H83" s="5">
        <v>0</v>
      </c>
      <c r="I83" s="5">
        <v>1.8E-3</v>
      </c>
      <c r="J83" s="5">
        <v>2.98E-2</v>
      </c>
      <c r="K83" s="5">
        <v>6.7799999999999999E-2</v>
      </c>
      <c r="L83" s="5">
        <v>5.7299999999999997E-2</v>
      </c>
      <c r="M83" s="5">
        <f>0.31/100</f>
        <v>3.0999999999999999E-3</v>
      </c>
      <c r="N83" s="5">
        <f>0.82/100</f>
        <v>8.199999999999999E-3</v>
      </c>
      <c r="O83" s="5">
        <v>2.9499999999999998E-2</v>
      </c>
      <c r="P83" s="5">
        <f>61.12/100</f>
        <v>0.61119999999999997</v>
      </c>
      <c r="Q83" s="5">
        <f>11.28/100</f>
        <v>0.1128</v>
      </c>
      <c r="R83" s="5">
        <f>1.13/100</f>
        <v>1.1299999999999999E-2</v>
      </c>
      <c r="S83" s="4">
        <v>0</v>
      </c>
      <c r="T83" s="4">
        <v>0</v>
      </c>
      <c r="U83" s="5">
        <v>0</v>
      </c>
      <c r="V83" s="5">
        <v>3.5000000000000001E-3</v>
      </c>
      <c r="W83" s="4">
        <v>0</v>
      </c>
      <c r="X83" s="4">
        <v>0</v>
      </c>
      <c r="Y83" s="5">
        <v>0</v>
      </c>
      <c r="Z83" s="5">
        <v>1.2999999999999999E-3</v>
      </c>
      <c r="AA83" s="5">
        <v>0</v>
      </c>
      <c r="AB83" s="5">
        <v>0</v>
      </c>
      <c r="AC83" s="4">
        <v>0</v>
      </c>
      <c r="AD83" s="5">
        <v>3.5999999999999999E-3</v>
      </c>
      <c r="AE83" s="4">
        <f>4.66/100</f>
        <v>4.6600000000000003E-2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f t="shared" si="2"/>
        <v>0.93859999999999988</v>
      </c>
    </row>
    <row r="84" spans="1:37" x14ac:dyDescent="0.25">
      <c r="A84" s="4">
        <v>44</v>
      </c>
      <c r="B84" s="4" t="s">
        <v>33</v>
      </c>
      <c r="C84" s="4" t="s">
        <v>32</v>
      </c>
      <c r="D84" s="4" t="s">
        <v>32</v>
      </c>
      <c r="E84" s="4" t="s">
        <v>32</v>
      </c>
      <c r="F84" s="5">
        <v>0</v>
      </c>
      <c r="G84" s="5">
        <v>0</v>
      </c>
      <c r="H84" s="5">
        <v>0</v>
      </c>
      <c r="I84" s="5">
        <v>0</v>
      </c>
      <c r="J84" s="5">
        <f>0.1/100</f>
        <v>1E-3</v>
      </c>
      <c r="K84" s="5">
        <v>6.8000000000000005E-2</v>
      </c>
      <c r="L84" s="5">
        <v>1E-3</v>
      </c>
      <c r="M84" s="5">
        <v>5.0000000000000001E-4</v>
      </c>
      <c r="N84" s="5">
        <f>1.1/100</f>
        <v>1.1000000000000001E-2</v>
      </c>
      <c r="O84" s="5">
        <v>3.5999999999999997E-2</v>
      </c>
      <c r="P84" s="5">
        <v>0.26889999999999997</v>
      </c>
      <c r="Q84" s="5">
        <v>0.59970000000000001</v>
      </c>
      <c r="R84" s="5">
        <v>4.0000000000000001E-3</v>
      </c>
      <c r="S84" s="4">
        <v>0</v>
      </c>
      <c r="T84" s="4">
        <v>0</v>
      </c>
      <c r="U84" s="5">
        <v>2E-3</v>
      </c>
      <c r="V84" s="5">
        <v>0</v>
      </c>
      <c r="W84" s="4">
        <v>0</v>
      </c>
      <c r="X84" s="4">
        <v>0</v>
      </c>
      <c r="Y84" s="5">
        <f>0.4/100</f>
        <v>4.0000000000000001E-3</v>
      </c>
      <c r="Z84" s="4">
        <v>0</v>
      </c>
      <c r="AA84" s="5">
        <v>0</v>
      </c>
      <c r="AB84" s="5">
        <f>0.2/100</f>
        <v>2E-3</v>
      </c>
      <c r="AC84" s="4">
        <v>0</v>
      </c>
      <c r="AD84" s="5">
        <v>2E-3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f t="shared" si="2"/>
        <v>0.99809999999999999</v>
      </c>
    </row>
    <row r="85" spans="1:37" x14ac:dyDescent="0.25">
      <c r="A85" s="4">
        <v>44</v>
      </c>
      <c r="B85" s="4" t="s">
        <v>33</v>
      </c>
      <c r="C85" s="4" t="s">
        <v>32</v>
      </c>
      <c r="D85" s="4" t="s">
        <v>32</v>
      </c>
      <c r="E85" s="4" t="s">
        <v>36</v>
      </c>
      <c r="F85" s="5">
        <v>1E-3</v>
      </c>
      <c r="G85" s="5">
        <v>0</v>
      </c>
      <c r="H85" s="5">
        <v>0</v>
      </c>
      <c r="I85" s="5">
        <v>1.8E-3</v>
      </c>
      <c r="J85" s="5">
        <v>2.98E-2</v>
      </c>
      <c r="K85" s="5">
        <v>6.7799999999999999E-2</v>
      </c>
      <c r="L85" s="5">
        <v>5.7299999999999997E-2</v>
      </c>
      <c r="M85" s="5">
        <f>0.31/100</f>
        <v>3.0999999999999999E-3</v>
      </c>
      <c r="N85" s="5">
        <f>0.82/100</f>
        <v>8.199999999999999E-3</v>
      </c>
      <c r="O85" s="5">
        <v>2.9499999999999998E-2</v>
      </c>
      <c r="P85" s="5">
        <f>61.12/100</f>
        <v>0.61119999999999997</v>
      </c>
      <c r="Q85" s="5">
        <f>11.28/100</f>
        <v>0.1128</v>
      </c>
      <c r="R85" s="5">
        <f>1.13/100</f>
        <v>1.1299999999999999E-2</v>
      </c>
      <c r="S85" s="4">
        <v>0</v>
      </c>
      <c r="T85" s="4">
        <v>0</v>
      </c>
      <c r="U85" s="5">
        <v>0</v>
      </c>
      <c r="V85" s="5">
        <v>3.5000000000000001E-3</v>
      </c>
      <c r="W85" s="4">
        <v>0</v>
      </c>
      <c r="X85" s="4">
        <v>0</v>
      </c>
      <c r="Y85" s="5">
        <v>0</v>
      </c>
      <c r="Z85" s="5">
        <v>1.2999999999999999E-3</v>
      </c>
      <c r="AA85" s="5">
        <v>0</v>
      </c>
      <c r="AB85" s="5">
        <v>0</v>
      </c>
      <c r="AC85" s="4">
        <v>0</v>
      </c>
      <c r="AD85" s="5">
        <v>3.5999999999999999E-3</v>
      </c>
      <c r="AE85" s="4">
        <f>4.66/100</f>
        <v>4.6600000000000003E-2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f t="shared" si="2"/>
        <v>0.93859999999999988</v>
      </c>
    </row>
    <row r="86" spans="1:37" x14ac:dyDescent="0.25">
      <c r="A86" s="4">
        <v>45</v>
      </c>
      <c r="B86" s="4" t="s">
        <v>31</v>
      </c>
      <c r="C86" s="4" t="s">
        <v>32</v>
      </c>
      <c r="D86" s="4" t="s">
        <v>32</v>
      </c>
      <c r="E86" s="4" t="s">
        <v>32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0.1143</v>
      </c>
      <c r="L86" s="5">
        <v>0</v>
      </c>
      <c r="M86" s="5">
        <v>0</v>
      </c>
      <c r="N86" s="5">
        <v>0</v>
      </c>
      <c r="O86" s="5">
        <v>3.9E-2</v>
      </c>
      <c r="P86" s="5">
        <v>0.26240000000000002</v>
      </c>
      <c r="Q86" s="5">
        <v>0.5181</v>
      </c>
      <c r="R86" s="5">
        <v>6.4000000000000001E-2</v>
      </c>
      <c r="S86" s="4">
        <v>0</v>
      </c>
      <c r="T86" s="4">
        <v>0</v>
      </c>
      <c r="U86" s="5">
        <v>2.2000000000000001E-3</v>
      </c>
      <c r="V86" s="5">
        <v>0</v>
      </c>
      <c r="W86" s="4">
        <v>0</v>
      </c>
      <c r="X86" s="4">
        <v>0</v>
      </c>
      <c r="Y86" s="5">
        <v>0</v>
      </c>
      <c r="Z86" s="4">
        <v>0</v>
      </c>
      <c r="AA86" s="5">
        <v>0</v>
      </c>
      <c r="AB86" s="5">
        <v>0</v>
      </c>
      <c r="AC86" s="4">
        <v>0</v>
      </c>
      <c r="AD86" s="5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f t="shared" si="2"/>
        <v>1</v>
      </c>
    </row>
    <row r="87" spans="1:37" x14ac:dyDescent="0.25">
      <c r="A87" s="4">
        <v>45</v>
      </c>
      <c r="B87" s="4" t="s">
        <v>31</v>
      </c>
      <c r="C87" s="4" t="s">
        <v>32</v>
      </c>
      <c r="D87" s="4" t="s">
        <v>32</v>
      </c>
      <c r="E87" s="4" t="s">
        <v>36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4.0500000000000001E-2</v>
      </c>
      <c r="L87" s="5">
        <v>5.8500000000000003E-2</v>
      </c>
      <c r="M87" s="5">
        <v>0</v>
      </c>
      <c r="N87" s="5">
        <v>0</v>
      </c>
      <c r="O87" s="5">
        <v>0</v>
      </c>
      <c r="P87" s="5">
        <v>0.83130000000000004</v>
      </c>
      <c r="Q87" s="5">
        <v>5.0500000000000003E-2</v>
      </c>
      <c r="R87" s="5">
        <v>0</v>
      </c>
      <c r="S87" s="4">
        <v>0</v>
      </c>
      <c r="T87" s="4">
        <v>0</v>
      </c>
      <c r="U87" s="5">
        <v>0</v>
      </c>
      <c r="V87" s="5">
        <v>0</v>
      </c>
      <c r="W87" s="4">
        <v>0</v>
      </c>
      <c r="X87" s="4">
        <v>0</v>
      </c>
      <c r="Y87" s="5">
        <v>0</v>
      </c>
      <c r="Z87" s="4">
        <v>0</v>
      </c>
      <c r="AA87" s="5">
        <v>0</v>
      </c>
      <c r="AB87" s="5">
        <v>0</v>
      </c>
      <c r="AC87" s="4">
        <v>0</v>
      </c>
      <c r="AD87" s="5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f t="shared" si="2"/>
        <v>0.98080000000000001</v>
      </c>
    </row>
    <row r="88" spans="1:37" x14ac:dyDescent="0.25">
      <c r="A88" s="4">
        <v>46</v>
      </c>
      <c r="B88" s="4" t="s">
        <v>31</v>
      </c>
      <c r="C88" s="4" t="s">
        <v>32</v>
      </c>
      <c r="D88" s="4" t="s">
        <v>32</v>
      </c>
      <c r="E88" s="4" t="s">
        <v>32</v>
      </c>
      <c r="F88" s="5">
        <v>0.10580000000000001</v>
      </c>
      <c r="G88" s="5">
        <v>0</v>
      </c>
      <c r="H88" s="5">
        <v>0</v>
      </c>
      <c r="I88" s="5">
        <v>0.442</v>
      </c>
      <c r="J88" s="5">
        <v>0.16439999999999999</v>
      </c>
      <c r="K88" s="5">
        <v>9.06E-2</v>
      </c>
      <c r="L88" s="5">
        <v>0</v>
      </c>
      <c r="M88" s="5">
        <v>0</v>
      </c>
      <c r="N88" s="5">
        <v>3.7199999999999997E-2</v>
      </c>
      <c r="O88" s="5">
        <v>0.13519999999999999</v>
      </c>
      <c r="P88" s="5">
        <v>2.4799999999999999E-2</v>
      </c>
      <c r="Q88" s="5">
        <v>0</v>
      </c>
      <c r="R88" s="5">
        <v>0</v>
      </c>
      <c r="S88" s="4">
        <v>0</v>
      </c>
      <c r="T88" s="4">
        <v>0</v>
      </c>
      <c r="U88" s="5">
        <v>0</v>
      </c>
      <c r="V88" s="5">
        <v>0</v>
      </c>
      <c r="W88" s="4">
        <v>0</v>
      </c>
      <c r="X88" s="4">
        <v>0</v>
      </c>
      <c r="Y88" s="5">
        <v>0</v>
      </c>
      <c r="Z88" s="4">
        <v>0</v>
      </c>
      <c r="AA88" s="5">
        <v>0</v>
      </c>
      <c r="AB88" s="5">
        <v>0</v>
      </c>
      <c r="AC88" s="4">
        <v>0</v>
      </c>
      <c r="AD88" s="5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f t="shared" si="2"/>
        <v>1</v>
      </c>
    </row>
    <row r="89" spans="1:37" x14ac:dyDescent="0.25">
      <c r="A89" s="4">
        <v>46</v>
      </c>
      <c r="B89" s="5" t="s">
        <v>31</v>
      </c>
      <c r="C89" s="4" t="s">
        <v>32</v>
      </c>
      <c r="D89" s="4" t="s">
        <v>32</v>
      </c>
      <c r="E89" s="4" t="s">
        <v>36</v>
      </c>
      <c r="F89" s="5">
        <v>0</v>
      </c>
      <c r="G89" s="5">
        <v>0</v>
      </c>
      <c r="H89" s="5">
        <v>0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4">
        <v>0</v>
      </c>
      <c r="T89" s="4">
        <v>0</v>
      </c>
      <c r="U89" s="5">
        <v>0</v>
      </c>
      <c r="V89" s="5">
        <v>0</v>
      </c>
      <c r="W89" s="4">
        <v>0</v>
      </c>
      <c r="X89" s="4">
        <v>0</v>
      </c>
      <c r="Y89" s="5">
        <v>0</v>
      </c>
      <c r="Z89" s="4">
        <v>0</v>
      </c>
      <c r="AA89" s="5">
        <v>0</v>
      </c>
      <c r="AB89" s="5">
        <v>0</v>
      </c>
      <c r="AC89" s="4">
        <v>0</v>
      </c>
      <c r="AD89" s="5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f t="shared" si="2"/>
        <v>1</v>
      </c>
    </row>
    <row r="90" spans="1:37" x14ac:dyDescent="0.25">
      <c r="A90" s="4">
        <v>47</v>
      </c>
      <c r="B90" s="5" t="s">
        <v>31</v>
      </c>
      <c r="C90" s="4" t="s">
        <v>32</v>
      </c>
      <c r="D90" s="4" t="s">
        <v>32</v>
      </c>
      <c r="E90" s="4" t="s">
        <v>32</v>
      </c>
      <c r="F90" s="5">
        <v>0</v>
      </c>
      <c r="G90" s="5">
        <v>0</v>
      </c>
      <c r="H90" s="5">
        <v>0</v>
      </c>
      <c r="I90" s="5">
        <v>0</v>
      </c>
      <c r="J90" s="5">
        <v>3.0000000000000001E-3</v>
      </c>
      <c r="K90" s="5">
        <v>0.42749999999999999</v>
      </c>
      <c r="L90" s="5">
        <v>0</v>
      </c>
      <c r="M90" s="5">
        <v>0</v>
      </c>
      <c r="N90" s="5">
        <v>3.5000000000000003E-2</v>
      </c>
      <c r="O90" s="5">
        <v>0.40400000000000003</v>
      </c>
      <c r="P90" s="5">
        <v>0.12559999999999999</v>
      </c>
      <c r="Q90" s="5">
        <v>5.0000000000000001E-3</v>
      </c>
      <c r="R90" s="5">
        <v>0</v>
      </c>
      <c r="S90" s="4">
        <v>0</v>
      </c>
      <c r="T90" s="4">
        <v>0</v>
      </c>
      <c r="U90" s="5">
        <v>0</v>
      </c>
      <c r="V90" s="5">
        <v>0</v>
      </c>
      <c r="W90" s="4">
        <v>0</v>
      </c>
      <c r="X90" s="4">
        <v>0</v>
      </c>
      <c r="Y90" s="5">
        <v>0</v>
      </c>
      <c r="Z90" s="4">
        <v>0</v>
      </c>
      <c r="AA90" s="5">
        <v>0</v>
      </c>
      <c r="AB90" s="5">
        <v>0</v>
      </c>
      <c r="AC90" s="4">
        <v>0</v>
      </c>
      <c r="AD90" s="5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f t="shared" si="2"/>
        <v>1.0001</v>
      </c>
    </row>
    <row r="91" spans="1:37" x14ac:dyDescent="0.25">
      <c r="A91" s="4">
        <v>47</v>
      </c>
      <c r="B91" s="5" t="s">
        <v>33</v>
      </c>
      <c r="C91" s="4" t="s">
        <v>32</v>
      </c>
      <c r="D91" s="4" t="s">
        <v>32</v>
      </c>
      <c r="E91" s="4" t="s">
        <v>32</v>
      </c>
      <c r="F91" s="5">
        <v>0</v>
      </c>
      <c r="G91" s="5">
        <v>0</v>
      </c>
      <c r="H91" s="5">
        <v>0</v>
      </c>
      <c r="I91" s="5">
        <v>0</v>
      </c>
      <c r="J91" s="5">
        <v>3.0000000000000001E-3</v>
      </c>
      <c r="K91" s="5">
        <v>0.32319999999999999</v>
      </c>
      <c r="L91" s="5">
        <v>0</v>
      </c>
      <c r="M91" s="5">
        <v>0</v>
      </c>
      <c r="N91" s="5">
        <v>2.29E-2</v>
      </c>
      <c r="O91" s="5">
        <v>0.48749999999999999</v>
      </c>
      <c r="P91" s="5">
        <v>0.15759999999999999</v>
      </c>
      <c r="Q91" s="5">
        <v>5.7999999999999996E-3</v>
      </c>
      <c r="R91" s="5">
        <v>0</v>
      </c>
      <c r="S91" s="4">
        <v>0</v>
      </c>
      <c r="T91" s="4">
        <v>0</v>
      </c>
      <c r="U91" s="5">
        <v>0</v>
      </c>
      <c r="V91" s="5">
        <v>0</v>
      </c>
      <c r="W91" s="4">
        <v>0</v>
      </c>
      <c r="X91" s="4">
        <v>0</v>
      </c>
      <c r="Y91" s="5">
        <v>0</v>
      </c>
      <c r="Z91" s="4">
        <v>0</v>
      </c>
      <c r="AA91" s="5">
        <v>0</v>
      </c>
      <c r="AB91" s="5">
        <v>0</v>
      </c>
      <c r="AC91" s="4">
        <v>0</v>
      </c>
      <c r="AD91" s="5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f t="shared" si="2"/>
        <v>1</v>
      </c>
    </row>
    <row r="92" spans="1:37" x14ac:dyDescent="0.25">
      <c r="A92" s="4">
        <v>47</v>
      </c>
      <c r="B92" s="5" t="s">
        <v>34</v>
      </c>
      <c r="C92" s="4" t="s">
        <v>32</v>
      </c>
      <c r="D92" s="4" t="s">
        <v>32</v>
      </c>
      <c r="E92" s="4" t="s">
        <v>32</v>
      </c>
      <c r="F92" s="5">
        <v>0</v>
      </c>
      <c r="G92" s="5">
        <v>0</v>
      </c>
      <c r="H92" s="5">
        <v>0</v>
      </c>
      <c r="I92" s="5">
        <v>0</v>
      </c>
      <c r="J92" s="5">
        <v>3.5000000000000001E-3</v>
      </c>
      <c r="K92" s="5">
        <v>0.51529999999999998</v>
      </c>
      <c r="L92" s="5">
        <v>0</v>
      </c>
      <c r="M92" s="5">
        <v>0</v>
      </c>
      <c r="N92" s="5">
        <v>5.0099999999999999E-2</v>
      </c>
      <c r="O92" s="5">
        <v>0.3271</v>
      </c>
      <c r="P92" s="5">
        <v>0.1</v>
      </c>
      <c r="Q92" s="5">
        <v>4.1000000000000003E-3</v>
      </c>
      <c r="R92" s="5">
        <v>0</v>
      </c>
      <c r="S92" s="4">
        <v>0</v>
      </c>
      <c r="T92" s="4">
        <v>0</v>
      </c>
      <c r="U92" s="5">
        <v>0</v>
      </c>
      <c r="V92" s="5">
        <v>0</v>
      </c>
      <c r="W92" s="4">
        <v>0</v>
      </c>
      <c r="X92" s="4">
        <v>0</v>
      </c>
      <c r="Y92" s="5">
        <v>0</v>
      </c>
      <c r="Z92" s="4">
        <v>0</v>
      </c>
      <c r="AA92" s="5">
        <v>0</v>
      </c>
      <c r="AB92" s="5">
        <v>0</v>
      </c>
      <c r="AC92" s="4">
        <v>0</v>
      </c>
      <c r="AD92" s="5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f t="shared" si="2"/>
        <v>1.0001</v>
      </c>
    </row>
    <row r="93" spans="1:37" x14ac:dyDescent="0.25">
      <c r="A93" s="4">
        <v>48</v>
      </c>
      <c r="B93" s="4" t="s">
        <v>31</v>
      </c>
      <c r="C93" s="4" t="s">
        <v>32</v>
      </c>
      <c r="D93" s="4" t="s">
        <v>32</v>
      </c>
      <c r="E93" s="4" t="s">
        <v>32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0.12330000000000001</v>
      </c>
      <c r="L93" s="4">
        <v>0</v>
      </c>
      <c r="M93" s="4">
        <v>0</v>
      </c>
      <c r="N93" s="5">
        <v>0</v>
      </c>
      <c r="O93" s="4">
        <v>0</v>
      </c>
      <c r="P93" s="4">
        <v>0.25950000000000001</v>
      </c>
      <c r="Q93" s="4">
        <v>0.55549999999999999</v>
      </c>
      <c r="R93" s="4">
        <v>6.1699999999999998E-2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f t="shared" si="2"/>
        <v>1</v>
      </c>
    </row>
    <row r="94" spans="1:37" x14ac:dyDescent="0.25">
      <c r="A94" s="4">
        <v>48</v>
      </c>
      <c r="B94" s="4" t="s">
        <v>33</v>
      </c>
      <c r="C94" s="4" t="s">
        <v>32</v>
      </c>
      <c r="D94" s="4" t="s">
        <v>32</v>
      </c>
      <c r="E94" s="4" t="s">
        <v>32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1.35E-2</v>
      </c>
      <c r="L94" s="4">
        <v>0</v>
      </c>
      <c r="M94" s="4">
        <v>0</v>
      </c>
      <c r="N94" s="5">
        <v>0</v>
      </c>
      <c r="O94" s="4">
        <v>7.7999999999999996E-3</v>
      </c>
      <c r="P94" s="4">
        <v>2.4199999999999999E-2</v>
      </c>
      <c r="Q94" s="4">
        <v>3.0800000000000001E-2</v>
      </c>
      <c r="R94" s="4">
        <v>2.3999999999999998E-3</v>
      </c>
      <c r="S94" s="4">
        <v>0.91210000000000002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f t="shared" si="2"/>
        <v>0.99080000000000001</v>
      </c>
    </row>
    <row r="95" spans="1:37" x14ac:dyDescent="0.25">
      <c r="A95" s="4">
        <v>49</v>
      </c>
      <c r="B95" s="5" t="s">
        <v>31</v>
      </c>
      <c r="C95" s="4" t="s">
        <v>32</v>
      </c>
      <c r="D95" s="4" t="s">
        <v>32</v>
      </c>
      <c r="E95" s="4" t="s">
        <v>32</v>
      </c>
      <c r="F95" s="5">
        <v>0</v>
      </c>
      <c r="G95" s="5">
        <v>0</v>
      </c>
      <c r="H95" s="5">
        <v>0</v>
      </c>
      <c r="I95" s="4">
        <f>0.19/100</f>
        <v>1.9E-3</v>
      </c>
      <c r="J95" s="4">
        <f>0.06/100</f>
        <v>5.9999999999999995E-4</v>
      </c>
      <c r="K95" s="4">
        <f>10.8/100</f>
        <v>0.10800000000000001</v>
      </c>
      <c r="L95" s="4">
        <f>0.06/100</f>
        <v>5.9999999999999995E-4</v>
      </c>
      <c r="M95" s="5">
        <v>0</v>
      </c>
      <c r="N95" s="5">
        <v>0</v>
      </c>
      <c r="O95" s="4">
        <f>3.93/100</f>
        <v>3.9300000000000002E-2</v>
      </c>
      <c r="P95" s="4">
        <f>24.4/100</f>
        <v>0.24399999999999999</v>
      </c>
      <c r="Q95" s="4">
        <f>52.8/100</f>
        <v>0.52800000000000002</v>
      </c>
      <c r="R95" s="4">
        <f>6.43/100</f>
        <v>6.4299999999999996E-2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f>0.36/100</f>
        <v>3.5999999999999999E-3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f t="shared" si="2"/>
        <v>0.99030000000000018</v>
      </c>
    </row>
    <row r="96" spans="1:37" x14ac:dyDescent="0.25">
      <c r="A96" s="4">
        <v>49</v>
      </c>
      <c r="B96" s="5" t="s">
        <v>31</v>
      </c>
      <c r="C96" s="4" t="s">
        <v>36</v>
      </c>
      <c r="D96" s="4" t="s">
        <v>32</v>
      </c>
      <c r="E96" s="4" t="s">
        <v>32</v>
      </c>
      <c r="F96" s="5">
        <v>0</v>
      </c>
      <c r="G96" s="5">
        <v>0</v>
      </c>
      <c r="H96" s="5">
        <v>0</v>
      </c>
      <c r="I96" s="4">
        <v>2.0000000000000001E-4</v>
      </c>
      <c r="J96" s="4">
        <v>7.1999999999999998E-3</v>
      </c>
      <c r="K96" s="4">
        <v>0.222</v>
      </c>
      <c r="L96" s="4">
        <v>4.6999999999999993E-3</v>
      </c>
      <c r="M96" s="4">
        <v>0</v>
      </c>
      <c r="N96" s="4">
        <v>0</v>
      </c>
      <c r="O96" s="4">
        <v>2.3700000000000002E-2</v>
      </c>
      <c r="P96" s="4">
        <v>0.16500000000000001</v>
      </c>
      <c r="Q96" s="4">
        <v>0.57200000000000006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1.1999999999999999E-3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f t="shared" si="2"/>
        <v>0.99600000000000011</v>
      </c>
    </row>
    <row r="97" spans="1:37" x14ac:dyDescent="0.25">
      <c r="A97" s="4">
        <v>49</v>
      </c>
      <c r="B97" s="5" t="s">
        <v>31</v>
      </c>
      <c r="C97" s="4" t="s">
        <v>32</v>
      </c>
      <c r="D97" s="4" t="s">
        <v>36</v>
      </c>
      <c r="E97" s="4" t="s">
        <v>32</v>
      </c>
      <c r="F97" s="5">
        <v>0</v>
      </c>
      <c r="G97" s="5">
        <v>0</v>
      </c>
      <c r="H97" s="5">
        <v>0</v>
      </c>
      <c r="I97" s="4">
        <v>0</v>
      </c>
      <c r="J97" s="4">
        <v>1.1000000000000001E-3</v>
      </c>
      <c r="K97" s="4">
        <v>7.980000000000001E-2</v>
      </c>
      <c r="L97" s="4">
        <v>1E-3</v>
      </c>
      <c r="M97" s="4">
        <v>0</v>
      </c>
      <c r="N97" s="4">
        <v>0</v>
      </c>
      <c r="O97" s="4">
        <v>2.2700000000000001E-2</v>
      </c>
      <c r="P97" s="4">
        <v>0.126</v>
      </c>
      <c r="Q97" s="4">
        <v>0.76400000000000001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8.9999999999999998E-4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f t="shared" si="2"/>
        <v>0.99550000000000005</v>
      </c>
    </row>
    <row r="98" spans="1:37" x14ac:dyDescent="0.25">
      <c r="A98" s="4">
        <v>49</v>
      </c>
      <c r="B98" s="5" t="s">
        <v>31</v>
      </c>
      <c r="C98" s="4" t="s">
        <v>32</v>
      </c>
      <c r="D98" s="4" t="s">
        <v>32</v>
      </c>
      <c r="E98" s="4" t="s">
        <v>36</v>
      </c>
      <c r="F98" s="5">
        <v>0</v>
      </c>
      <c r="G98" s="5">
        <v>0</v>
      </c>
      <c r="H98" s="5">
        <v>0</v>
      </c>
      <c r="I98" s="4">
        <v>6.4000000000000003E-3</v>
      </c>
      <c r="J98" s="4">
        <v>2.2000000000000001E-3</v>
      </c>
      <c r="K98" s="4">
        <v>5.0700000000000002E-2</v>
      </c>
      <c r="L98" s="4">
        <v>1.1999999999999999E-3</v>
      </c>
      <c r="M98" s="4">
        <v>0</v>
      </c>
      <c r="N98" s="4">
        <v>0</v>
      </c>
      <c r="O98" s="4">
        <v>1.6799999999999999E-2</v>
      </c>
      <c r="P98" s="4">
        <v>0.255</v>
      </c>
      <c r="Q98" s="4">
        <v>0.66500000000000004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f t="shared" si="2"/>
        <v>0.99730000000000008</v>
      </c>
    </row>
    <row r="99" spans="1:37" x14ac:dyDescent="0.25">
      <c r="A99" s="4">
        <v>49</v>
      </c>
      <c r="B99" s="5" t="s">
        <v>33</v>
      </c>
      <c r="C99" s="4" t="s">
        <v>32</v>
      </c>
      <c r="D99" s="4" t="s">
        <v>32</v>
      </c>
      <c r="E99" s="4" t="s">
        <v>32</v>
      </c>
      <c r="F99" s="5">
        <v>0</v>
      </c>
      <c r="G99" s="5">
        <v>0</v>
      </c>
      <c r="H99" s="5">
        <v>0</v>
      </c>
      <c r="I99" s="4">
        <v>2.0999999999999999E-3</v>
      </c>
      <c r="J99" s="4">
        <v>6.7000000000000002E-3</v>
      </c>
      <c r="K99" s="4">
        <v>0.22800000000000001</v>
      </c>
      <c r="L99" s="4">
        <v>4.3E-3</v>
      </c>
      <c r="M99" s="4">
        <v>0</v>
      </c>
      <c r="N99" s="4">
        <v>0</v>
      </c>
      <c r="O99" s="4">
        <v>2.2599999999999999E-2</v>
      </c>
      <c r="P99" s="4">
        <v>0.17199999999999999</v>
      </c>
      <c r="Q99" s="4">
        <v>0.55899999999999994</v>
      </c>
      <c r="R99" s="4">
        <v>1.5E-3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8.9999999999999998E-4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f t="shared" ref="AK99:AK112" si="3">SUM(F99:AC99)</f>
        <v>0.99709999999999988</v>
      </c>
    </row>
    <row r="100" spans="1:37" x14ac:dyDescent="0.25">
      <c r="A100" s="4">
        <v>49</v>
      </c>
      <c r="B100" s="5" t="s">
        <v>33</v>
      </c>
      <c r="C100" s="4" t="s">
        <v>36</v>
      </c>
      <c r="D100" s="4" t="s">
        <v>32</v>
      </c>
      <c r="E100" s="4" t="s">
        <v>32</v>
      </c>
      <c r="F100" s="5">
        <v>0</v>
      </c>
      <c r="G100" s="5">
        <v>0</v>
      </c>
      <c r="H100" s="5">
        <v>0</v>
      </c>
      <c r="I100" s="4">
        <v>2.0000000000000001E-4</v>
      </c>
      <c r="J100" s="4">
        <v>7.1999999999999998E-3</v>
      </c>
      <c r="K100" s="4">
        <v>0.222</v>
      </c>
      <c r="L100" s="4">
        <v>4.6999999999999993E-3</v>
      </c>
      <c r="M100" s="4">
        <v>0</v>
      </c>
      <c r="N100" s="4">
        <v>0</v>
      </c>
      <c r="O100" s="4">
        <v>2.3700000000000002E-2</v>
      </c>
      <c r="P100" s="4">
        <v>0.16500000000000001</v>
      </c>
      <c r="Q100" s="4">
        <v>0.57200000000000006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1.1999999999999999E-3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f t="shared" si="3"/>
        <v>0.99600000000000011</v>
      </c>
    </row>
    <row r="101" spans="1:37" x14ac:dyDescent="0.25">
      <c r="A101" s="4">
        <v>49</v>
      </c>
      <c r="B101" s="5" t="s">
        <v>33</v>
      </c>
      <c r="C101" s="4" t="s">
        <v>32</v>
      </c>
      <c r="D101" s="4" t="s">
        <v>36</v>
      </c>
      <c r="E101" s="4" t="s">
        <v>32</v>
      </c>
      <c r="F101" s="5">
        <v>0</v>
      </c>
      <c r="G101" s="5">
        <v>0</v>
      </c>
      <c r="H101" s="5">
        <v>0</v>
      </c>
      <c r="I101" s="4">
        <v>0</v>
      </c>
      <c r="J101" s="4">
        <v>1.1000000000000001E-3</v>
      </c>
      <c r="K101" s="4">
        <v>7.980000000000001E-2</v>
      </c>
      <c r="L101" s="4">
        <v>1E-3</v>
      </c>
      <c r="M101" s="4">
        <v>0</v>
      </c>
      <c r="N101" s="4">
        <v>0</v>
      </c>
      <c r="O101" s="4">
        <v>2.2700000000000001E-2</v>
      </c>
      <c r="P101" s="4">
        <v>0.126</v>
      </c>
      <c r="Q101" s="4">
        <v>0.76400000000000001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8.9999999999999998E-4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f t="shared" si="3"/>
        <v>0.99550000000000005</v>
      </c>
    </row>
    <row r="102" spans="1:37" x14ac:dyDescent="0.25">
      <c r="A102" s="4">
        <v>49</v>
      </c>
      <c r="B102" s="5" t="s">
        <v>31</v>
      </c>
      <c r="C102" s="4" t="s">
        <v>32</v>
      </c>
      <c r="D102" s="4" t="s">
        <v>32</v>
      </c>
      <c r="E102" s="4" t="s">
        <v>36</v>
      </c>
      <c r="F102" s="5">
        <v>0</v>
      </c>
      <c r="G102" s="5">
        <v>0</v>
      </c>
      <c r="H102" s="5">
        <v>0</v>
      </c>
      <c r="I102" s="4">
        <v>6.4000000000000003E-3</v>
      </c>
      <c r="J102" s="4">
        <v>2.2000000000000001E-3</v>
      </c>
      <c r="K102" s="4">
        <v>5.0700000000000002E-2</v>
      </c>
      <c r="L102" s="4">
        <v>1.1999999999999999E-3</v>
      </c>
      <c r="M102" s="4">
        <v>0</v>
      </c>
      <c r="N102" s="4">
        <v>0</v>
      </c>
      <c r="O102" s="4">
        <v>1.6799999999999999E-2</v>
      </c>
      <c r="P102" s="4">
        <v>0.255</v>
      </c>
      <c r="Q102" s="4">
        <v>0.66500000000000004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f t="shared" si="3"/>
        <v>0.99730000000000008</v>
      </c>
    </row>
    <row r="103" spans="1:37" x14ac:dyDescent="0.25">
      <c r="A103" s="4">
        <v>49</v>
      </c>
      <c r="B103" s="5" t="s">
        <v>34</v>
      </c>
      <c r="C103" s="4" t="s">
        <v>32</v>
      </c>
      <c r="D103" s="4" t="s">
        <v>32</v>
      </c>
      <c r="E103" s="4" t="s">
        <v>32</v>
      </c>
      <c r="F103" s="5">
        <v>0</v>
      </c>
      <c r="G103" s="5">
        <v>0</v>
      </c>
      <c r="H103" s="5">
        <v>0</v>
      </c>
      <c r="I103" s="4">
        <v>0</v>
      </c>
      <c r="J103" s="4">
        <v>2.8000000000000004E-3</v>
      </c>
      <c r="K103" s="4">
        <v>0.19800000000000001</v>
      </c>
      <c r="L103" s="4">
        <v>1.5E-3</v>
      </c>
      <c r="M103" s="4">
        <v>0</v>
      </c>
      <c r="N103" s="4">
        <v>0</v>
      </c>
      <c r="O103" s="4">
        <v>1.83E-2</v>
      </c>
      <c r="P103" s="4">
        <v>0.39700000000000002</v>
      </c>
      <c r="Q103" s="4">
        <v>0.34700000000000003</v>
      </c>
      <c r="R103" s="4">
        <v>1.95E-2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3.0999999999999999E-3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f t="shared" si="3"/>
        <v>0.98720000000000008</v>
      </c>
    </row>
    <row r="104" spans="1:37" x14ac:dyDescent="0.25">
      <c r="A104" s="4">
        <v>49</v>
      </c>
      <c r="B104" s="5" t="s">
        <v>34</v>
      </c>
      <c r="C104" s="4" t="s">
        <v>36</v>
      </c>
      <c r="D104" s="4" t="s">
        <v>32</v>
      </c>
      <c r="E104" s="4" t="s">
        <v>32</v>
      </c>
      <c r="F104" s="5">
        <v>0</v>
      </c>
      <c r="G104" s="5">
        <v>0</v>
      </c>
      <c r="H104" s="5">
        <v>0</v>
      </c>
      <c r="I104" s="4">
        <v>2.0000000000000001E-4</v>
      </c>
      <c r="J104" s="4">
        <v>7.1999999999999998E-3</v>
      </c>
      <c r="K104" s="4">
        <v>0.222</v>
      </c>
      <c r="L104" s="4">
        <v>4.6999999999999993E-3</v>
      </c>
      <c r="M104" s="4">
        <v>0</v>
      </c>
      <c r="N104" s="4">
        <v>0</v>
      </c>
      <c r="O104" s="4">
        <v>2.3700000000000002E-2</v>
      </c>
      <c r="P104" s="4">
        <v>0.16500000000000001</v>
      </c>
      <c r="Q104" s="4">
        <v>0.57200000000000006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1.1999999999999999E-3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f t="shared" si="3"/>
        <v>0.99600000000000011</v>
      </c>
    </row>
    <row r="105" spans="1:37" x14ac:dyDescent="0.25">
      <c r="A105" s="4">
        <v>49</v>
      </c>
      <c r="B105" s="5" t="s">
        <v>34</v>
      </c>
      <c r="C105" s="4" t="s">
        <v>32</v>
      </c>
      <c r="D105" s="4" t="s">
        <v>36</v>
      </c>
      <c r="E105" s="4" t="s">
        <v>32</v>
      </c>
      <c r="F105" s="5">
        <v>0</v>
      </c>
      <c r="G105" s="5">
        <v>0</v>
      </c>
      <c r="H105" s="5">
        <v>0</v>
      </c>
      <c r="I105" s="4">
        <v>2.5399999999999999E-2</v>
      </c>
      <c r="J105" s="4">
        <v>2.8999999999999998E-3</v>
      </c>
      <c r="K105" s="4">
        <v>4.6199999999999998E-2</v>
      </c>
      <c r="L105" s="4">
        <v>0</v>
      </c>
      <c r="M105" s="4">
        <v>0</v>
      </c>
      <c r="N105" s="4">
        <v>0</v>
      </c>
      <c r="O105" s="4">
        <v>1.84E-2</v>
      </c>
      <c r="P105" s="4">
        <v>0.78099999999999992</v>
      </c>
      <c r="Q105" s="4">
        <v>0.11900000000000001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1.2999999999999999E-3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f t="shared" si="3"/>
        <v>0.99419999999999986</v>
      </c>
    </row>
    <row r="106" spans="1:37" x14ac:dyDescent="0.25">
      <c r="A106" s="4">
        <v>49</v>
      </c>
      <c r="B106" s="5" t="s">
        <v>34</v>
      </c>
      <c r="C106" s="4" t="s">
        <v>32</v>
      </c>
      <c r="D106" s="4" t="s">
        <v>32</v>
      </c>
      <c r="E106" s="4" t="s">
        <v>36</v>
      </c>
      <c r="F106" s="5">
        <v>0</v>
      </c>
      <c r="G106" s="5">
        <v>0</v>
      </c>
      <c r="H106" s="5">
        <v>0</v>
      </c>
      <c r="I106" s="4">
        <v>0</v>
      </c>
      <c r="J106" s="4">
        <v>0</v>
      </c>
      <c r="K106" s="4">
        <v>0.01</v>
      </c>
      <c r="L106" s="4">
        <v>0</v>
      </c>
      <c r="M106" s="4">
        <v>0</v>
      </c>
      <c r="N106" s="4">
        <v>0</v>
      </c>
      <c r="O106" s="4">
        <v>2.2599999999999999E-2</v>
      </c>
      <c r="P106" s="4">
        <v>0.91</v>
      </c>
      <c r="Q106" s="4">
        <v>5.4299999999999994E-2</v>
      </c>
      <c r="R106" s="4">
        <v>8.0000000000000004E-4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f t="shared" si="3"/>
        <v>0.99770000000000003</v>
      </c>
    </row>
    <row r="107" spans="1:37" x14ac:dyDescent="0.25">
      <c r="A107" s="4">
        <v>50</v>
      </c>
      <c r="B107" s="5" t="s">
        <v>31</v>
      </c>
      <c r="C107" s="4" t="s">
        <v>32</v>
      </c>
      <c r="D107" s="4" t="s">
        <v>32</v>
      </c>
      <c r="E107" s="4" t="s">
        <v>32</v>
      </c>
      <c r="F107" s="5">
        <v>0</v>
      </c>
      <c r="G107" s="5">
        <v>0</v>
      </c>
      <c r="H107" s="5">
        <v>0</v>
      </c>
      <c r="I107" s="4">
        <v>0</v>
      </c>
      <c r="J107" s="4">
        <v>0</v>
      </c>
      <c r="K107" s="4">
        <f>15.6/100</f>
        <v>0.156</v>
      </c>
      <c r="L107" s="4">
        <f>1.05/100</f>
        <v>1.0500000000000001E-2</v>
      </c>
      <c r="M107" s="4">
        <v>0</v>
      </c>
      <c r="N107" s="4">
        <v>0</v>
      </c>
      <c r="O107" s="4">
        <f>2.25/100</f>
        <v>2.2499999999999999E-2</v>
      </c>
      <c r="P107" s="4">
        <f>67.2/100</f>
        <v>0.67200000000000004</v>
      </c>
      <c r="Q107" s="4">
        <f>11.5/100</f>
        <v>0.115</v>
      </c>
      <c r="R107" s="4">
        <f>(0.71+1.27)/100</f>
        <v>1.9799999999999998E-2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f>0.39/100</f>
        <v>3.9000000000000003E-3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f t="shared" si="3"/>
        <v>0.99580000000000002</v>
      </c>
    </row>
    <row r="108" spans="1:37" x14ac:dyDescent="0.25">
      <c r="A108" s="4">
        <v>50</v>
      </c>
      <c r="B108" s="5" t="s">
        <v>31</v>
      </c>
      <c r="C108" s="4" t="s">
        <v>32</v>
      </c>
      <c r="D108" s="4" t="s">
        <v>32</v>
      </c>
      <c r="E108" s="4" t="s">
        <v>36</v>
      </c>
      <c r="F108" s="5">
        <v>0</v>
      </c>
      <c r="G108" s="5">
        <v>0</v>
      </c>
      <c r="H108" s="5">
        <v>1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f t="shared" si="3"/>
        <v>1</v>
      </c>
    </row>
    <row r="109" spans="1:37" x14ac:dyDescent="0.25">
      <c r="A109" s="4">
        <v>50</v>
      </c>
      <c r="B109" s="5" t="s">
        <v>33</v>
      </c>
      <c r="C109" s="4" t="s">
        <v>32</v>
      </c>
      <c r="D109" s="4" t="s">
        <v>32</v>
      </c>
      <c r="E109" s="4" t="s">
        <v>32</v>
      </c>
      <c r="F109" s="5">
        <v>0</v>
      </c>
      <c r="G109" s="5">
        <v>0</v>
      </c>
      <c r="H109" s="5">
        <v>0</v>
      </c>
      <c r="I109" s="4">
        <v>0</v>
      </c>
      <c r="J109" s="4">
        <v>0</v>
      </c>
      <c r="K109" s="4">
        <f>6.37/100</f>
        <v>6.3700000000000007E-2</v>
      </c>
      <c r="L109" s="4">
        <v>0</v>
      </c>
      <c r="M109" s="4">
        <v>0</v>
      </c>
      <c r="N109" s="4">
        <v>0</v>
      </c>
      <c r="O109" s="4">
        <f>3.36/100</f>
        <v>3.3599999999999998E-2</v>
      </c>
      <c r="P109" s="4">
        <f>30.7/100</f>
        <v>0.307</v>
      </c>
      <c r="Q109" s="4">
        <f>58.9/100</f>
        <v>0.58899999999999997</v>
      </c>
      <c r="R109" s="4">
        <f>0.47/100</f>
        <v>4.6999999999999993E-3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f>0.24/100</f>
        <v>2.3999999999999998E-3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f t="shared" si="3"/>
        <v>0.998</v>
      </c>
    </row>
    <row r="110" spans="1:37" x14ac:dyDescent="0.25">
      <c r="A110" s="4">
        <v>50</v>
      </c>
      <c r="B110" s="5" t="s">
        <v>33</v>
      </c>
      <c r="C110" s="4" t="s">
        <v>36</v>
      </c>
      <c r="D110" s="4" t="s">
        <v>32</v>
      </c>
      <c r="E110" s="4" t="s">
        <v>32</v>
      </c>
      <c r="F110" s="5">
        <v>0</v>
      </c>
      <c r="G110" s="5">
        <v>0</v>
      </c>
      <c r="H110" s="5">
        <v>0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f t="shared" si="3"/>
        <v>1</v>
      </c>
    </row>
    <row r="111" spans="1:37" x14ac:dyDescent="0.25">
      <c r="A111" s="4">
        <v>50</v>
      </c>
      <c r="B111" s="5" t="s">
        <v>34</v>
      </c>
      <c r="C111" s="4" t="s">
        <v>32</v>
      </c>
      <c r="D111" s="4" t="s">
        <v>32</v>
      </c>
      <c r="E111" s="4" t="s">
        <v>32</v>
      </c>
      <c r="F111" s="5">
        <v>0</v>
      </c>
      <c r="G111" s="4">
        <f>5.12/100</f>
        <v>5.1200000000000002E-2</v>
      </c>
      <c r="H111" s="4">
        <f>4.53/100</f>
        <v>4.53E-2</v>
      </c>
      <c r="I111" s="4">
        <f>51.5/100</f>
        <v>0.51500000000000001</v>
      </c>
      <c r="J111" s="4">
        <f>16.6/100</f>
        <v>0.16600000000000001</v>
      </c>
      <c r="K111" s="4">
        <f>7.15/100</f>
        <v>7.1500000000000008E-2</v>
      </c>
      <c r="L111" s="4">
        <v>0</v>
      </c>
      <c r="M111" s="4">
        <v>0</v>
      </c>
      <c r="N111" s="4">
        <v>0</v>
      </c>
      <c r="O111" s="4">
        <f>1.8/100</f>
        <v>1.8000000000000002E-2</v>
      </c>
      <c r="P111" s="4">
        <f>10.8/100</f>
        <v>0.10800000000000001</v>
      </c>
      <c r="Q111" s="4">
        <f>2.6/100</f>
        <v>2.6000000000000002E-2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f t="shared" si="3"/>
        <v>1.0010000000000001</v>
      </c>
    </row>
    <row r="112" spans="1:37" x14ac:dyDescent="0.25">
      <c r="A112" s="4">
        <v>50</v>
      </c>
      <c r="B112" s="5" t="s">
        <v>34</v>
      </c>
      <c r="C112" s="4" t="s">
        <v>32</v>
      </c>
      <c r="D112" s="4" t="s">
        <v>36</v>
      </c>
      <c r="E112" s="4" t="s">
        <v>32</v>
      </c>
      <c r="F112" s="5">
        <v>0</v>
      </c>
      <c r="G112" s="5">
        <v>0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f t="shared" si="3"/>
        <v>1</v>
      </c>
    </row>
    <row r="113" spans="1:37" x14ac:dyDescent="0.25">
      <c r="A113" s="4">
        <v>51</v>
      </c>
      <c r="B113" s="5" t="s">
        <v>31</v>
      </c>
      <c r="C113" s="4" t="s">
        <v>32</v>
      </c>
      <c r="D113" s="4" t="s">
        <v>32</v>
      </c>
      <c r="E113" s="4" t="s">
        <v>32</v>
      </c>
      <c r="F113" s="5">
        <v>0</v>
      </c>
      <c r="G113" s="5">
        <v>0</v>
      </c>
      <c r="H113" s="4">
        <v>0</v>
      </c>
      <c r="I113" s="4">
        <v>0</v>
      </c>
      <c r="J113" s="4">
        <v>0</v>
      </c>
      <c r="K113" s="4">
        <f>26.1/100</f>
        <v>0.26100000000000001</v>
      </c>
      <c r="L113" s="4">
        <f>2.6/100</f>
        <v>2.6000000000000002E-2</v>
      </c>
      <c r="M113" s="4">
        <v>0</v>
      </c>
      <c r="N113" s="4">
        <v>0</v>
      </c>
      <c r="O113" s="4">
        <f>3.7/100</f>
        <v>3.7000000000000005E-2</v>
      </c>
      <c r="P113" s="4">
        <v>0</v>
      </c>
      <c r="Q113" s="4">
        <v>0</v>
      </c>
      <c r="R113" s="4">
        <f>1.1/100</f>
        <v>1.1000000000000001E-2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f>1.1/100</f>
        <v>1.1000000000000001E-2</v>
      </c>
      <c r="AG113" s="4">
        <f>4.6/100</f>
        <v>4.5999999999999999E-2</v>
      </c>
      <c r="AH113" s="4">
        <f>11.9/100</f>
        <v>0.11900000000000001</v>
      </c>
      <c r="AI113" s="4">
        <f>35.9/100</f>
        <v>0.35899999999999999</v>
      </c>
      <c r="AJ113" s="4">
        <f>12/100</f>
        <v>0.12</v>
      </c>
      <c r="AK113" s="4">
        <f>SUM(F113:AJ113)</f>
        <v>0.9900000000000001</v>
      </c>
    </row>
    <row r="114" spans="1:37" x14ac:dyDescent="0.25">
      <c r="A114" s="4">
        <v>52</v>
      </c>
      <c r="B114" s="5" t="s">
        <v>31</v>
      </c>
      <c r="C114" s="4" t="s">
        <v>32</v>
      </c>
      <c r="D114" s="4" t="s">
        <v>32</v>
      </c>
      <c r="E114" s="4" t="s">
        <v>32</v>
      </c>
      <c r="F114" s="5">
        <v>0</v>
      </c>
      <c r="G114" s="5">
        <v>0</v>
      </c>
      <c r="H114" s="4">
        <v>0</v>
      </c>
      <c r="I114" s="4">
        <v>0</v>
      </c>
      <c r="J114" s="4">
        <v>0</v>
      </c>
      <c r="K114" s="4">
        <f>6.96/100</f>
        <v>6.9599999999999995E-2</v>
      </c>
      <c r="L114" s="4">
        <v>0</v>
      </c>
      <c r="M114" s="4">
        <v>0</v>
      </c>
      <c r="N114" s="4">
        <v>0</v>
      </c>
      <c r="O114" s="4">
        <f>4.9149/100</f>
        <v>4.9149000000000005E-2</v>
      </c>
      <c r="P114" s="4">
        <f>21.799/100</f>
        <v>0.21798999999999999</v>
      </c>
      <c r="Q114" s="4">
        <f>16.6846/100</f>
        <v>0.16684599999999999</v>
      </c>
      <c r="R114" s="4">
        <f>49.5441/100</f>
        <v>0.49544100000000002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f>SUM(F114:AJ114)</f>
        <v>0.99902599999999997</v>
      </c>
    </row>
    <row r="115" spans="1:37" x14ac:dyDescent="0.25">
      <c r="A115" s="4">
        <v>53</v>
      </c>
      <c r="B115" s="5" t="s">
        <v>31</v>
      </c>
      <c r="C115" s="4" t="s">
        <v>32</v>
      </c>
      <c r="D115" s="4" t="s">
        <v>32</v>
      </c>
      <c r="E115" s="4" t="s">
        <v>32</v>
      </c>
      <c r="F115" s="5">
        <v>0</v>
      </c>
      <c r="G115" s="5">
        <v>0</v>
      </c>
      <c r="H115" s="4">
        <v>0</v>
      </c>
      <c r="I115" s="4">
        <v>0</v>
      </c>
      <c r="J115" s="4">
        <v>0</v>
      </c>
      <c r="K115" s="4">
        <f>6.8/100</f>
        <v>6.8000000000000005E-2</v>
      </c>
      <c r="L115" s="4">
        <v>0</v>
      </c>
      <c r="M115" s="4">
        <v>0</v>
      </c>
      <c r="N115" s="4">
        <v>0</v>
      </c>
      <c r="O115" s="4">
        <v>0</v>
      </c>
      <c r="P115" s="4">
        <f>89.7/100</f>
        <v>0.89700000000000002</v>
      </c>
      <c r="Q115" s="4">
        <f>2.4/100</f>
        <v>2.4E-2</v>
      </c>
      <c r="R115" s="4">
        <v>0</v>
      </c>
      <c r="S115" s="4">
        <v>0</v>
      </c>
      <c r="T115" s="4">
        <v>0</v>
      </c>
      <c r="U115" s="4">
        <f>1.1/100</f>
        <v>1.1000000000000001E-2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f>SUM(F115:AJ115)</f>
        <v>1</v>
      </c>
    </row>
    <row r="116" spans="1:37" x14ac:dyDescent="0.25">
      <c r="A116" s="4">
        <v>54</v>
      </c>
      <c r="B116" s="5" t="s">
        <v>31</v>
      </c>
      <c r="C116" s="4" t="s">
        <v>32</v>
      </c>
      <c r="D116" s="4" t="s">
        <v>32</v>
      </c>
      <c r="E116" s="4" t="s">
        <v>32</v>
      </c>
      <c r="F116" s="5">
        <v>0</v>
      </c>
      <c r="G116" s="5">
        <v>0</v>
      </c>
      <c r="H116" s="4">
        <v>0</v>
      </c>
      <c r="I116" s="4">
        <v>2.4362134193920849E-3</v>
      </c>
      <c r="J116" s="4">
        <v>1.963616677364366E-3</v>
      </c>
      <c r="K116" s="4">
        <v>5.7051471563331832E-2</v>
      </c>
      <c r="L116" s="4">
        <v>3.9193665349841721E-3</v>
      </c>
      <c r="M116" s="4">
        <v>0</v>
      </c>
      <c r="N116" s="4">
        <v>0</v>
      </c>
      <c r="O116" s="4">
        <v>2.6091444463008394E-2</v>
      </c>
      <c r="P116" s="4">
        <v>0.28638469766314884</v>
      </c>
      <c r="Q116" s="4">
        <v>0.61791701580112823</v>
      </c>
      <c r="R116" s="4">
        <v>2.8925018621770494E-3</v>
      </c>
      <c r="S116" s="4">
        <v>0</v>
      </c>
      <c r="T116" s="4">
        <v>0</v>
      </c>
      <c r="U116" s="4">
        <v>1.3436720154649453E-3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f>SUM(F116:AJ116)</f>
        <v>0.99999999999999989</v>
      </c>
    </row>
    <row r="117" spans="1:37" x14ac:dyDescent="0.25">
      <c r="A117" s="4">
        <v>55</v>
      </c>
      <c r="B117" s="5" t="s">
        <v>31</v>
      </c>
      <c r="C117" s="4" t="s">
        <v>32</v>
      </c>
      <c r="D117" s="4" t="s">
        <v>32</v>
      </c>
      <c r="E117" s="4" t="s">
        <v>32</v>
      </c>
      <c r="F117" s="4">
        <v>0</v>
      </c>
      <c r="G117" s="4">
        <v>0</v>
      </c>
      <c r="H117" s="4">
        <v>0</v>
      </c>
      <c r="I117" s="4">
        <v>1.9E-3</v>
      </c>
      <c r="J117" s="4">
        <v>5.9999999999999995E-4</v>
      </c>
      <c r="K117" s="4">
        <v>0.10800000000000001</v>
      </c>
      <c r="L117" s="4">
        <v>5.9999999999999995E-4</v>
      </c>
      <c r="M117" s="4">
        <v>0</v>
      </c>
      <c r="N117" s="4">
        <v>0</v>
      </c>
      <c r="O117" s="4">
        <v>3.9300000000000002E-2</v>
      </c>
      <c r="P117" s="4">
        <v>0.24399999999999999</v>
      </c>
      <c r="Q117" s="4">
        <v>0.53239999999999998</v>
      </c>
      <c r="R117" s="4">
        <v>6.4299999999999996E-2</v>
      </c>
      <c r="S117" s="4">
        <v>0</v>
      </c>
      <c r="T117" s="4">
        <v>0</v>
      </c>
      <c r="U117" s="4">
        <v>3.3E-3</v>
      </c>
      <c r="V117" s="4">
        <v>0</v>
      </c>
      <c r="W117" s="4">
        <v>0</v>
      </c>
      <c r="X117" s="4">
        <v>0</v>
      </c>
      <c r="Y117" s="4">
        <v>3.5999999999999999E-3</v>
      </c>
      <c r="Z117" s="4">
        <v>0</v>
      </c>
      <c r="AA117" s="4">
        <v>0</v>
      </c>
      <c r="AB117" s="4">
        <v>0</v>
      </c>
      <c r="AC117" s="4">
        <v>0</v>
      </c>
      <c r="AD117" s="4">
        <v>1.9E-3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f t="shared" ref="AK117:AK126" si="4">SUM(F117:AJ117)</f>
        <v>0.99990000000000012</v>
      </c>
    </row>
    <row r="118" spans="1:37" x14ac:dyDescent="0.25">
      <c r="A118" s="4">
        <v>55</v>
      </c>
      <c r="B118" s="5" t="s">
        <v>31</v>
      </c>
      <c r="C118" s="4" t="s">
        <v>36</v>
      </c>
      <c r="D118" s="4" t="s">
        <v>32</v>
      </c>
      <c r="E118" s="4" t="s">
        <v>32</v>
      </c>
      <c r="F118" s="4">
        <v>0</v>
      </c>
      <c r="G118" s="4">
        <v>0</v>
      </c>
      <c r="H118" s="4">
        <v>0</v>
      </c>
      <c r="I118" s="4">
        <v>4.0000000000000002E-4</v>
      </c>
      <c r="J118" s="4">
        <v>8.9999999999999998E-4</v>
      </c>
      <c r="K118" s="4">
        <v>0.114</v>
      </c>
      <c r="L118" s="4">
        <v>8.0000000000000004E-4</v>
      </c>
      <c r="M118" s="4">
        <v>0</v>
      </c>
      <c r="N118" s="4">
        <v>0</v>
      </c>
      <c r="O118" s="4">
        <v>5.5199999999999999E-2</v>
      </c>
      <c r="P118" s="4">
        <v>0.23399999999999999</v>
      </c>
      <c r="Q118" s="4">
        <v>0.54770000000000008</v>
      </c>
      <c r="R118" s="4">
        <v>3.5299999999999998E-2</v>
      </c>
      <c r="S118" s="4">
        <v>0</v>
      </c>
      <c r="T118" s="4">
        <v>0</v>
      </c>
      <c r="U118" s="4">
        <v>4.0999999999999995E-3</v>
      </c>
      <c r="V118" s="4">
        <v>0</v>
      </c>
      <c r="W118" s="4">
        <v>0</v>
      </c>
      <c r="X118" s="4">
        <v>0</v>
      </c>
      <c r="Y118" s="4">
        <v>4.5000000000000005E-3</v>
      </c>
      <c r="Z118" s="4">
        <v>0</v>
      </c>
      <c r="AA118" s="4">
        <v>0</v>
      </c>
      <c r="AB118" s="4">
        <v>0</v>
      </c>
      <c r="AC118" s="4">
        <v>0</v>
      </c>
      <c r="AD118" s="4">
        <v>1.4000000000000002E-3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f t="shared" si="4"/>
        <v>0.99829999999999997</v>
      </c>
    </row>
    <row r="119" spans="1:37" x14ac:dyDescent="0.25">
      <c r="A119" s="4">
        <v>55</v>
      </c>
      <c r="B119" s="5" t="s">
        <v>33</v>
      </c>
      <c r="C119" s="4" t="s">
        <v>32</v>
      </c>
      <c r="D119" s="4" t="s">
        <v>32</v>
      </c>
      <c r="E119" s="4" t="s">
        <v>32</v>
      </c>
      <c r="F119" s="4">
        <v>0</v>
      </c>
      <c r="G119" s="4">
        <v>0</v>
      </c>
      <c r="H119" s="4">
        <v>0</v>
      </c>
      <c r="I119" s="4">
        <v>2.0999999999999999E-3</v>
      </c>
      <c r="J119" s="4">
        <v>6.7000000000000002E-3</v>
      </c>
      <c r="K119" s="4">
        <v>0.22800000000000001</v>
      </c>
      <c r="L119" s="4">
        <v>4.3E-3</v>
      </c>
      <c r="M119" s="4">
        <v>0</v>
      </c>
      <c r="N119" s="4">
        <v>0</v>
      </c>
      <c r="O119" s="4">
        <v>2.2599999999999999E-2</v>
      </c>
      <c r="P119" s="4">
        <v>0.17199999999999999</v>
      </c>
      <c r="Q119" s="4">
        <v>0.55899999999999994</v>
      </c>
      <c r="R119" s="4">
        <v>1.5E-3</v>
      </c>
      <c r="S119" s="4">
        <v>0</v>
      </c>
      <c r="T119" s="4">
        <v>0</v>
      </c>
      <c r="U119" s="4">
        <v>2.3999999999999998E-3</v>
      </c>
      <c r="V119" s="4">
        <v>0</v>
      </c>
      <c r="W119" s="4">
        <v>0</v>
      </c>
      <c r="X119" s="4">
        <v>0</v>
      </c>
      <c r="Y119" s="4">
        <v>8.9999999999999998E-4</v>
      </c>
      <c r="Z119" s="4">
        <v>0</v>
      </c>
      <c r="AA119" s="4">
        <v>0</v>
      </c>
      <c r="AB119" s="4">
        <v>0</v>
      </c>
      <c r="AC119" s="4">
        <v>0</v>
      </c>
      <c r="AD119" s="4">
        <v>5.9999999999999995E-4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f t="shared" si="4"/>
        <v>1.0000999999999998</v>
      </c>
    </row>
    <row r="120" spans="1:37" x14ac:dyDescent="0.25">
      <c r="A120" s="4">
        <v>55</v>
      </c>
      <c r="B120" s="5" t="s">
        <v>33</v>
      </c>
      <c r="C120" s="4" t="s">
        <v>36</v>
      </c>
      <c r="D120" s="4" t="s">
        <v>32</v>
      </c>
      <c r="E120" s="4" t="s">
        <v>32</v>
      </c>
      <c r="F120" s="4">
        <v>0</v>
      </c>
      <c r="G120" s="4">
        <v>0</v>
      </c>
      <c r="H120" s="4">
        <v>0</v>
      </c>
      <c r="I120" s="4">
        <v>4.0000000000000002E-4</v>
      </c>
      <c r="J120" s="4">
        <v>8.9999999999999998E-4</v>
      </c>
      <c r="K120" s="4">
        <v>0.114</v>
      </c>
      <c r="L120" s="4">
        <v>8.0000000000000004E-4</v>
      </c>
      <c r="M120" s="4">
        <v>0</v>
      </c>
      <c r="N120" s="4">
        <v>0</v>
      </c>
      <c r="O120" s="4">
        <v>5.5199999999999999E-2</v>
      </c>
      <c r="P120" s="4">
        <v>0.23399999999999999</v>
      </c>
      <c r="Q120" s="4">
        <v>0.54770000000000008</v>
      </c>
      <c r="R120" s="4">
        <v>3.5299999999999998E-2</v>
      </c>
      <c r="S120" s="4">
        <v>0</v>
      </c>
      <c r="T120" s="4">
        <v>0</v>
      </c>
      <c r="U120" s="4">
        <v>4.0999999999999995E-3</v>
      </c>
      <c r="V120" s="4">
        <v>0</v>
      </c>
      <c r="W120" s="4">
        <v>0</v>
      </c>
      <c r="X120" s="4">
        <v>0</v>
      </c>
      <c r="Y120" s="4">
        <v>4.5000000000000005E-3</v>
      </c>
      <c r="Z120" s="4">
        <v>0</v>
      </c>
      <c r="AA120" s="4">
        <v>0</v>
      </c>
      <c r="AB120" s="4">
        <v>0</v>
      </c>
      <c r="AC120" s="4">
        <v>0</v>
      </c>
      <c r="AD120" s="4">
        <v>1.4000000000000002E-3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f t="shared" si="4"/>
        <v>0.99829999999999997</v>
      </c>
    </row>
    <row r="121" spans="1:37" x14ac:dyDescent="0.25">
      <c r="A121" s="4">
        <v>55</v>
      </c>
      <c r="B121" s="5" t="s">
        <v>34</v>
      </c>
      <c r="C121" s="4" t="s">
        <v>32</v>
      </c>
      <c r="D121" s="4" t="s">
        <v>32</v>
      </c>
      <c r="E121" s="4" t="s">
        <v>32</v>
      </c>
      <c r="F121" s="4">
        <v>0</v>
      </c>
      <c r="G121" s="4">
        <v>0</v>
      </c>
      <c r="H121" s="4">
        <v>0</v>
      </c>
      <c r="I121" s="4">
        <v>0</v>
      </c>
      <c r="J121" s="4">
        <v>2.8000000000000004E-3</v>
      </c>
      <c r="K121" s="4">
        <v>0.19800000000000001</v>
      </c>
      <c r="L121" s="4">
        <v>1.5E-3</v>
      </c>
      <c r="M121" s="4">
        <v>0</v>
      </c>
      <c r="N121" s="4">
        <v>0</v>
      </c>
      <c r="O121" s="4">
        <v>1.83E-2</v>
      </c>
      <c r="P121" s="4">
        <v>0.39700000000000002</v>
      </c>
      <c r="Q121" s="4">
        <v>0.34700000000000003</v>
      </c>
      <c r="R121" s="4">
        <v>1.95E-2</v>
      </c>
      <c r="S121" s="4">
        <v>0</v>
      </c>
      <c r="T121" s="4">
        <v>0</v>
      </c>
      <c r="U121" s="4">
        <v>7.7000000000000002E-3</v>
      </c>
      <c r="V121" s="4">
        <v>0</v>
      </c>
      <c r="W121" s="4">
        <v>0</v>
      </c>
      <c r="X121" s="4">
        <v>0</v>
      </c>
      <c r="Y121" s="4">
        <v>3.0999999999999999E-3</v>
      </c>
      <c r="Z121" s="4">
        <v>0</v>
      </c>
      <c r="AA121" s="4">
        <v>0</v>
      </c>
      <c r="AB121" s="4">
        <v>0</v>
      </c>
      <c r="AC121" s="4">
        <v>0</v>
      </c>
      <c r="AD121" s="4">
        <v>5.3E-3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f t="shared" si="4"/>
        <v>1.0002000000000002</v>
      </c>
    </row>
    <row r="122" spans="1:37" x14ac:dyDescent="0.25">
      <c r="A122" s="4">
        <v>55</v>
      </c>
      <c r="B122" s="5" t="s">
        <v>34</v>
      </c>
      <c r="C122" s="4" t="s">
        <v>36</v>
      </c>
      <c r="D122" s="4" t="s">
        <v>32</v>
      </c>
      <c r="E122" s="4" t="s">
        <v>32</v>
      </c>
      <c r="F122" s="4">
        <v>0</v>
      </c>
      <c r="G122" s="4">
        <v>0</v>
      </c>
      <c r="H122" s="4">
        <v>0</v>
      </c>
      <c r="I122" s="4">
        <v>4.0000000000000002E-4</v>
      </c>
      <c r="J122" s="4">
        <v>8.9999999999999998E-4</v>
      </c>
      <c r="K122" s="4">
        <v>0.114</v>
      </c>
      <c r="L122" s="4">
        <v>8.0000000000000004E-4</v>
      </c>
      <c r="M122" s="4">
        <v>0</v>
      </c>
      <c r="N122" s="4">
        <v>0</v>
      </c>
      <c r="O122" s="4">
        <v>5.5199999999999999E-2</v>
      </c>
      <c r="P122" s="4">
        <v>0.23399999999999999</v>
      </c>
      <c r="Q122" s="4">
        <v>0.54770000000000008</v>
      </c>
      <c r="R122" s="4">
        <v>3.5299999999999998E-2</v>
      </c>
      <c r="S122" s="4">
        <v>0</v>
      </c>
      <c r="T122" s="4">
        <v>0</v>
      </c>
      <c r="U122" s="4">
        <v>4.0999999999999995E-3</v>
      </c>
      <c r="V122" s="4">
        <v>0</v>
      </c>
      <c r="W122" s="4">
        <v>0</v>
      </c>
      <c r="X122" s="4">
        <v>0</v>
      </c>
      <c r="Y122" s="4">
        <v>4.5000000000000005E-3</v>
      </c>
      <c r="Z122" s="4">
        <v>0</v>
      </c>
      <c r="AA122" s="4">
        <v>0</v>
      </c>
      <c r="AB122" s="4">
        <v>0</v>
      </c>
      <c r="AC122" s="4">
        <v>0</v>
      </c>
      <c r="AD122" s="4">
        <v>1.4000000000000002E-3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f t="shared" si="4"/>
        <v>0.99829999999999997</v>
      </c>
    </row>
    <row r="123" spans="1:37" x14ac:dyDescent="0.25">
      <c r="A123" s="4">
        <v>56</v>
      </c>
      <c r="B123" s="5" t="s">
        <v>31</v>
      </c>
      <c r="C123" s="4" t="s">
        <v>32</v>
      </c>
      <c r="D123" s="4" t="s">
        <v>32</v>
      </c>
      <c r="E123" s="4" t="s">
        <v>32</v>
      </c>
      <c r="F123" s="4">
        <v>0</v>
      </c>
      <c r="G123" s="4">
        <v>0</v>
      </c>
      <c r="H123" s="4">
        <v>0</v>
      </c>
      <c r="I123" s="4">
        <v>1E-3</v>
      </c>
      <c r="J123" s="4">
        <v>0</v>
      </c>
      <c r="K123" s="4">
        <v>5.5399999999999998E-2</v>
      </c>
      <c r="L123" s="4">
        <v>1E-3</v>
      </c>
      <c r="M123" s="4">
        <v>0</v>
      </c>
      <c r="N123" s="4">
        <v>0</v>
      </c>
      <c r="O123" s="4">
        <v>4.2500000000000003E-2</v>
      </c>
      <c r="P123" s="4">
        <v>0.27839999999999998</v>
      </c>
      <c r="Q123" s="4">
        <v>0.59909999999999997</v>
      </c>
      <c r="R123" s="4">
        <v>4.0000000000000001E-3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f t="shared" si="4"/>
        <v>0.98139999999999994</v>
      </c>
    </row>
    <row r="124" spans="1:37" x14ac:dyDescent="0.25">
      <c r="A124" s="4">
        <v>56</v>
      </c>
      <c r="B124" s="5" t="s">
        <v>33</v>
      </c>
      <c r="C124" s="4" t="s">
        <v>32</v>
      </c>
      <c r="D124" s="4" t="s">
        <v>32</v>
      </c>
      <c r="E124" s="4" t="s">
        <v>32</v>
      </c>
      <c r="F124" s="4">
        <v>0</v>
      </c>
      <c r="G124" s="4">
        <v>0</v>
      </c>
      <c r="H124" s="4">
        <v>0</v>
      </c>
      <c r="I124" s="4">
        <v>4.6700000000000005E-3</v>
      </c>
      <c r="J124" s="4">
        <v>0</v>
      </c>
      <c r="K124" s="4">
        <v>7.1590000000000001E-2</v>
      </c>
      <c r="L124" s="4">
        <v>2.5600000000000002E-3</v>
      </c>
      <c r="M124" s="4">
        <v>0</v>
      </c>
      <c r="N124" s="4">
        <v>0</v>
      </c>
      <c r="O124" s="4">
        <v>5.3849999999999995E-2</v>
      </c>
      <c r="P124" s="4">
        <v>0.29676000000000002</v>
      </c>
      <c r="Q124" s="4">
        <v>0.54661999999999999</v>
      </c>
      <c r="R124" s="4">
        <v>3.7000000000000006E-3</v>
      </c>
      <c r="S124" s="4">
        <v>0</v>
      </c>
      <c r="T124" s="4">
        <v>0</v>
      </c>
      <c r="U124" s="4">
        <v>3.2600000000000006E-4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f t="shared" si="4"/>
        <v>0.98007600000000017</v>
      </c>
    </row>
    <row r="125" spans="1:37" x14ac:dyDescent="0.25">
      <c r="A125" s="4">
        <v>56</v>
      </c>
      <c r="B125" s="5" t="s">
        <v>34</v>
      </c>
      <c r="C125" s="4" t="s">
        <v>32</v>
      </c>
      <c r="D125" s="4" t="s">
        <v>32</v>
      </c>
      <c r="E125" s="4" t="s">
        <v>32</v>
      </c>
      <c r="F125" s="4">
        <v>0</v>
      </c>
      <c r="G125" s="4">
        <v>0</v>
      </c>
      <c r="H125" s="4">
        <v>0</v>
      </c>
      <c r="I125" s="4">
        <v>8.3400000000000002E-3</v>
      </c>
      <c r="J125" s="4">
        <v>0</v>
      </c>
      <c r="K125" s="4">
        <v>8.7780000000000011E-2</v>
      </c>
      <c r="L125" s="4">
        <v>4.1200000000000004E-3</v>
      </c>
      <c r="M125" s="4">
        <v>0</v>
      </c>
      <c r="N125" s="4">
        <v>0</v>
      </c>
      <c r="O125" s="4">
        <v>6.5200000000000008E-2</v>
      </c>
      <c r="P125" s="4">
        <v>0.31512000000000001</v>
      </c>
      <c r="Q125" s="4">
        <v>0.49413999999999997</v>
      </c>
      <c r="R125" s="4">
        <v>3.4000000000000007E-3</v>
      </c>
      <c r="S125" s="4">
        <v>0</v>
      </c>
      <c r="T125" s="4">
        <v>0</v>
      </c>
      <c r="U125" s="4">
        <v>6.5200000000000013E-4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f t="shared" si="4"/>
        <v>0.97875199999999996</v>
      </c>
    </row>
    <row r="126" spans="1:37" x14ac:dyDescent="0.25">
      <c r="A126" s="4">
        <v>57</v>
      </c>
      <c r="B126" s="5" t="s">
        <v>31</v>
      </c>
      <c r="C126" s="4" t="s">
        <v>32</v>
      </c>
      <c r="D126" s="4" t="s">
        <v>32</v>
      </c>
      <c r="E126" s="4" t="s">
        <v>32</v>
      </c>
      <c r="F126" s="4">
        <v>0</v>
      </c>
      <c r="G126" s="4">
        <v>6.6600000000000006E-2</v>
      </c>
      <c r="H126" s="4">
        <v>7.0499999999999993E-2</v>
      </c>
      <c r="I126" s="4">
        <v>0.54549999999999998</v>
      </c>
      <c r="J126" s="4">
        <v>0.1699</v>
      </c>
      <c r="K126" s="4">
        <v>3.1800000000000002E-2</v>
      </c>
      <c r="L126" s="4">
        <v>0</v>
      </c>
      <c r="M126" s="4">
        <v>0</v>
      </c>
      <c r="N126" s="4">
        <v>0</v>
      </c>
      <c r="O126" s="4">
        <v>2.1099999999999997E-2</v>
      </c>
      <c r="P126" s="4">
        <v>7.7600000000000002E-2</v>
      </c>
      <c r="Q126" s="4">
        <v>1.7000000000000001E-2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2024-09-09T13:11:28Z</dcterms:modified>
</cp:coreProperties>
</file>